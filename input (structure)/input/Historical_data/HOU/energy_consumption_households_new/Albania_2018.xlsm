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ctrlProps/ctrlProp29.xml" ContentType="application/vnd.ms-excel.controlproperties+xml"/>
  <Override PartName="/xl/drawings/drawing19.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18b101b82ebc1c1/Desktop/Endemo2/input (structure)/Historical_data/HOU/energy_consumption_households/"/>
    </mc:Choice>
  </mc:AlternateContent>
  <xr:revisionPtr revIDLastSave="0" documentId="13_ncr:1_{77159362-2CC7-4902-B2D4-07C9A5AF41FF}" xr6:coauthVersionLast="47" xr6:coauthVersionMax="47" xr10:uidLastSave="{00000000-0000-0000-0000-000000000000}"/>
  <bookViews>
    <workbookView xWindow="-108" yWindow="-108" windowWidth="23256" windowHeight="12456" tabRatio="872" firstSheet="2" activeTab="9"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1a_SpaceHeating (2)" sheetId="18" r:id="rId14"/>
    <sheet name="1b_SpaceCooling (2)" sheetId="19" r:id="rId15"/>
    <sheet name="1c_WaterHeating (2)" sheetId="20" r:id="rId16"/>
    <sheet name="1d_Cooking (2)" sheetId="21" r:id="rId17"/>
    <sheet name="1e_LightingAndAppliances (2)" sheetId="22" r:id="rId18"/>
    <sheet name="1f_OtherEndUses (2)" sheetId="23" r:id="rId19"/>
    <sheet name="Validation" sheetId="14" r:id="rId20"/>
    <sheet name="Parameter_mapping" sheetId="16" state="hidden" r:id="rId21"/>
    <sheet name="Parameters" sheetId="17" state="hidden" r:id="rId22"/>
  </sheets>
  <externalReferences>
    <externalReference r:id="rId23"/>
    <externalReference r:id="rId24"/>
    <externalReference r:id="rId25"/>
    <externalReference r:id="rId26"/>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13">'1a_SpaceHeating (2)'!$A$1:$K$18</definedName>
    <definedName name="_xlnm.Print_Area" localSheetId="6">'1b_SpaceCooling'!$A$1:$K$6</definedName>
    <definedName name="_xlnm.Print_Area" localSheetId="14">'1b_SpaceCooling (2)'!$A$1:$K$6</definedName>
    <definedName name="_xlnm.Print_Area" localSheetId="7">'1c_WaterHeating'!$A$1:$K$18</definedName>
    <definedName name="_xlnm.Print_Area" localSheetId="15">'1c_WaterHeating (2)'!$A$1:$K$18</definedName>
    <definedName name="_xlnm.Print_Area" localSheetId="8">'1d_Cooking'!$A$1:$K$17</definedName>
    <definedName name="_xlnm.Print_Area" localSheetId="16">'1d_Cooking (2)'!$A$1:$K$17</definedName>
    <definedName name="_xlnm.Print_Area" localSheetId="9">'1e_LightingAndAppliances'!$A$1:$K$6</definedName>
    <definedName name="_xlnm.Print_Area" localSheetId="17">'1e_LightingAndAppliances (2)'!$A$1:$K$6</definedName>
    <definedName name="_xlnm.Print_Area" localSheetId="10">'1f_OtherEndUses'!$A$1:$K$17</definedName>
    <definedName name="_xlnm.Print_Area" localSheetId="18">'1f_OtherEndUses (2)'!$A$1:$K$17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13" hidden="1">'1a_SpaceHeating (2)'!#REF!</definedName>
    <definedName name="Z_B79E7212_8DD5_488D_8E68_A79B69F231E2_.wvu.Cols" localSheetId="6" hidden="1">'1b_SpaceCooling'!#REF!</definedName>
    <definedName name="Z_B79E7212_8DD5_488D_8E68_A79B69F231E2_.wvu.Cols" localSheetId="14" hidden="1">'1b_SpaceCooling (2)'!#REF!</definedName>
    <definedName name="Z_B79E7212_8DD5_488D_8E68_A79B69F231E2_.wvu.Cols" localSheetId="7" hidden="1">'1c_WaterHeating'!#REF!</definedName>
    <definedName name="Z_B79E7212_8DD5_488D_8E68_A79B69F231E2_.wvu.Cols" localSheetId="15" hidden="1">'1c_WaterHeating (2)'!#REF!</definedName>
    <definedName name="Z_B79E7212_8DD5_488D_8E68_A79B69F231E2_.wvu.Cols" localSheetId="8" hidden="1">'1d_Cooking'!#REF!</definedName>
    <definedName name="Z_B79E7212_8DD5_488D_8E68_A79B69F231E2_.wvu.Cols" localSheetId="16" hidden="1">'1d_Cooking (2)'!#REF!</definedName>
    <definedName name="Z_B79E7212_8DD5_488D_8E68_A79B69F231E2_.wvu.Cols" localSheetId="9" hidden="1">'1e_LightingAndAppliances'!#REF!</definedName>
    <definedName name="Z_B79E7212_8DD5_488D_8E68_A79B69F231E2_.wvu.Cols" localSheetId="17" hidden="1">'1e_LightingAndAppliances (2)'!#REF!</definedName>
    <definedName name="Z_B79E7212_8DD5_488D_8E68_A79B69F231E2_.wvu.Cols" localSheetId="10" hidden="1">'1f_OtherEndUses'!#REF!</definedName>
    <definedName name="Z_B79E7212_8DD5_488D_8E68_A79B69F231E2_.wvu.Cols" localSheetId="18" hidden="1">'1f_OtherEndUses (2)'!#REF!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13" hidden="1">'1a_SpaceHeating (2)'!$A$1:$G$18</definedName>
    <definedName name="Z_B79E7212_8DD5_488D_8E68_A79B69F231E2_.wvu.PrintArea" localSheetId="6" hidden="1">'1b_SpaceCooling'!$A$1:$G$6</definedName>
    <definedName name="Z_B79E7212_8DD5_488D_8E68_A79B69F231E2_.wvu.PrintArea" localSheetId="14" hidden="1">'1b_SpaceCooling (2)'!$A$1:$G$6</definedName>
    <definedName name="Z_B79E7212_8DD5_488D_8E68_A79B69F231E2_.wvu.PrintArea" localSheetId="7" hidden="1">'1c_WaterHeating'!$A$1:$G$18</definedName>
    <definedName name="Z_B79E7212_8DD5_488D_8E68_A79B69F231E2_.wvu.PrintArea" localSheetId="15" hidden="1">'1c_WaterHeating (2)'!$A$1:$G$18</definedName>
    <definedName name="Z_B79E7212_8DD5_488D_8E68_A79B69F231E2_.wvu.PrintArea" localSheetId="8" hidden="1">'1d_Cooking'!$A$1:$G$17</definedName>
    <definedName name="Z_B79E7212_8DD5_488D_8E68_A79B69F231E2_.wvu.PrintArea" localSheetId="16" hidden="1">'1d_Cooking (2)'!$A$1:$G$17</definedName>
    <definedName name="Z_B79E7212_8DD5_488D_8E68_A79B69F231E2_.wvu.PrintArea" localSheetId="9" hidden="1">'1e_LightingAndAppliances'!$A$1:$G$6</definedName>
    <definedName name="Z_B79E7212_8DD5_488D_8E68_A79B69F231E2_.wvu.PrintArea" localSheetId="17" hidden="1">'1e_LightingAndAppliances (2)'!$A$1:$G$6</definedName>
    <definedName name="Z_B79E7212_8DD5_488D_8E68_A79B69F231E2_.wvu.PrintArea" localSheetId="10" hidden="1">'1f_OtherEndUses'!$A$1:$G$17</definedName>
    <definedName name="Z_B79E7212_8DD5_488D_8E68_A79B69F231E2_.wvu.PrintArea" localSheetId="18" hidden="1">'1f_OtherEndUses (2)'!$A$1:$G$17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F6" i="10"/>
  <c r="G6" i="10"/>
  <c r="H6" i="10"/>
  <c r="I6" i="10"/>
  <c r="J6" i="10"/>
  <c r="K6" i="10"/>
  <c r="L6" i="10"/>
  <c r="D6" i="10"/>
  <c r="L14" i="9"/>
  <c r="K14" i="9"/>
  <c r="J14" i="9"/>
  <c r="I14" i="9"/>
  <c r="H14" i="9"/>
  <c r="G14" i="9"/>
  <c r="F14" i="9"/>
  <c r="E14" i="9"/>
  <c r="D14" i="9"/>
  <c r="L10" i="9"/>
  <c r="K10" i="9"/>
  <c r="J10" i="9"/>
  <c r="I10" i="9"/>
  <c r="H10" i="9"/>
  <c r="G10" i="9"/>
  <c r="F10" i="9"/>
  <c r="E10" i="9"/>
  <c r="D10" i="9"/>
  <c r="E6" i="9"/>
  <c r="F6" i="9"/>
  <c r="G6" i="9"/>
  <c r="H6" i="9"/>
  <c r="I6" i="9"/>
  <c r="J6" i="9"/>
  <c r="K6" i="9"/>
  <c r="L6" i="9"/>
  <c r="D6" i="9"/>
  <c r="L14" i="8"/>
  <c r="K14" i="8"/>
  <c r="J14" i="8"/>
  <c r="I14" i="8"/>
  <c r="H14" i="8"/>
  <c r="G14" i="8"/>
  <c r="F14" i="8"/>
  <c r="E14" i="8"/>
  <c r="D14" i="8"/>
  <c r="E6" i="8"/>
  <c r="F6" i="8"/>
  <c r="G6" i="8"/>
  <c r="H6" i="8"/>
  <c r="I6" i="8"/>
  <c r="J6" i="8"/>
  <c r="K6" i="8"/>
  <c r="L6" i="8"/>
  <c r="D6" i="8"/>
  <c r="E6" i="7"/>
  <c r="F6" i="7"/>
  <c r="G6" i="7"/>
  <c r="H6" i="7"/>
  <c r="I6" i="7"/>
  <c r="J6" i="7"/>
  <c r="K6" i="7"/>
  <c r="L6" i="7"/>
  <c r="D6" i="7"/>
  <c r="L14" i="6"/>
  <c r="K14" i="6"/>
  <c r="J14" i="6"/>
  <c r="I14" i="6"/>
  <c r="H14" i="6"/>
  <c r="G14" i="6"/>
  <c r="F14" i="6"/>
  <c r="E14" i="6"/>
  <c r="D14" i="6"/>
  <c r="L10" i="6"/>
  <c r="K10" i="6"/>
  <c r="J10" i="6"/>
  <c r="I10" i="6"/>
  <c r="H10" i="6"/>
  <c r="G10" i="6"/>
  <c r="F10" i="6"/>
  <c r="E10" i="6"/>
  <c r="D10" i="6"/>
  <c r="L9" i="6"/>
  <c r="K9" i="6"/>
  <c r="J9" i="6"/>
  <c r="I9" i="6"/>
  <c r="H9" i="6"/>
  <c r="G9" i="6"/>
  <c r="F9" i="6"/>
  <c r="E9" i="6"/>
  <c r="D9" i="6"/>
  <c r="L8" i="6"/>
  <c r="K8" i="6"/>
  <c r="J8" i="6"/>
  <c r="I8" i="6"/>
  <c r="H8" i="6"/>
  <c r="G8" i="6"/>
  <c r="D7" i="6"/>
  <c r="E7" i="6"/>
  <c r="F7" i="6"/>
  <c r="G7" i="6"/>
  <c r="H7" i="6"/>
  <c r="I7" i="6"/>
  <c r="J7" i="6"/>
  <c r="K7" i="6"/>
  <c r="L7" i="6"/>
  <c r="E6" i="6"/>
  <c r="F6" i="6"/>
  <c r="G6" i="6"/>
  <c r="H6" i="6"/>
  <c r="I6" i="6"/>
  <c r="J6" i="6"/>
  <c r="K6" i="6"/>
  <c r="L6" i="6"/>
  <c r="D6" i="6"/>
  <c r="DS6" i="23"/>
  <c r="DS6" i="22"/>
  <c r="DS6" i="21"/>
  <c r="DS6" i="20"/>
  <c r="DS6" i="19"/>
  <c r="DS6" i="18"/>
  <c r="DS6" i="7"/>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H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6" i="5"/>
  <c r="J12" i="5"/>
  <c r="G13" i="5"/>
  <c r="G15" i="5"/>
  <c r="J15" i="5"/>
  <c r="E9" i="5"/>
  <c r="H12" i="5"/>
  <c r="J14" i="5"/>
  <c r="J18" i="5"/>
  <c r="H8" i="5"/>
  <c r="G11" i="5"/>
  <c r="H9" i="5"/>
  <c r="G16" i="5"/>
  <c r="I6" i="5"/>
  <c r="H11" i="5"/>
  <c r="G7" i="5"/>
  <c r="J13" i="5"/>
  <c r="E7" i="5"/>
  <c r="K9" i="5"/>
  <c r="H15" i="5"/>
  <c r="G12" i="5"/>
  <c r="G8" i="5"/>
  <c r="E15" i="5"/>
  <c r="G14" i="5"/>
  <c r="E12" i="5"/>
  <c r="G10" i="5"/>
  <c r="E13" i="5"/>
  <c r="E6" i="5"/>
  <c r="J8" i="5"/>
  <c r="H18" i="5"/>
  <c r="E18" i="5"/>
  <c r="E14" i="5"/>
  <c r="F6" i="5"/>
  <c r="G18" i="5"/>
  <c r="G9" i="5"/>
  <c r="H6" i="5"/>
  <c r="J11" i="5"/>
  <c r="J6" i="5"/>
  <c r="E8" i="5"/>
  <c r="E11" i="5"/>
  <c r="H13" i="5"/>
  <c r="J9" i="5"/>
  <c r="H10" i="5"/>
  <c r="J7" i="5"/>
  <c r="E16" i="5"/>
  <c r="H14" i="5"/>
  <c r="J10" i="5"/>
  <c r="G6" i="5"/>
  <c r="H7" i="5"/>
  <c r="J16"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<sst xmlns="http://schemas.openxmlformats.org/spreadsheetml/2006/main" count="1400" uniqueCount="315">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</sst>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26</xdr:row>
          <xdr:rowOff>144780</xdr:rowOff>
        </xdr:from>
        <xdr:to>
          <xdr:col>1</xdr:col>
          <xdr:colOff>1927860</xdr:colOff>
          <xdr:row>28</xdr:row>
          <xdr:rowOff>137160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29</xdr:row>
          <xdr:rowOff>121920</xdr:rowOff>
        </xdr:from>
        <xdr:to>
          <xdr:col>1</xdr:col>
          <xdr:colOff>1927860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144780</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24</xdr:row>
          <xdr:rowOff>7620</xdr:rowOff>
        </xdr:from>
        <xdr:to>
          <xdr:col>2</xdr:col>
          <xdr:colOff>1935480</xdr:colOff>
          <xdr:row>25</xdr:row>
          <xdr:rowOff>137160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29</xdr:row>
          <xdr:rowOff>121920</xdr:rowOff>
        </xdr:from>
        <xdr:to>
          <xdr:col>3</xdr:col>
          <xdr:colOff>1943100</xdr:colOff>
          <xdr:row>31</xdr:row>
          <xdr:rowOff>99060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32</xdr:row>
          <xdr:rowOff>121920</xdr:rowOff>
        </xdr:from>
        <xdr:to>
          <xdr:col>2</xdr:col>
          <xdr:colOff>1935480</xdr:colOff>
          <xdr:row>34</xdr:row>
          <xdr:rowOff>106680</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24</xdr:row>
          <xdr:rowOff>7620</xdr:rowOff>
        </xdr:from>
        <xdr:to>
          <xdr:col>1</xdr:col>
          <xdr:colOff>1927860</xdr:colOff>
          <xdr:row>25</xdr:row>
          <xdr:rowOff>137160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7620</xdr:rowOff>
        </xdr:from>
        <xdr:to>
          <xdr:col>3</xdr:col>
          <xdr:colOff>1943100</xdr:colOff>
          <xdr:row>25</xdr:row>
          <xdr:rowOff>137160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26</xdr:row>
          <xdr:rowOff>144780</xdr:rowOff>
        </xdr:from>
        <xdr:to>
          <xdr:col>2</xdr:col>
          <xdr:colOff>1927860</xdr:colOff>
          <xdr:row>28</xdr:row>
          <xdr:rowOff>137160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29</xdr:row>
          <xdr:rowOff>121920</xdr:rowOff>
        </xdr:from>
        <xdr:to>
          <xdr:col>2</xdr:col>
          <xdr:colOff>1927860</xdr:colOff>
          <xdr:row>31</xdr:row>
          <xdr:rowOff>99060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137160</xdr:colOff>
          <xdr:row>32</xdr:row>
          <xdr:rowOff>68580</xdr:rowOff>
        </xdr:from>
        <xdr:to>
          <xdr:col>1</xdr:col>
          <xdr:colOff>1927860</xdr:colOff>
          <xdr:row>34</xdr:row>
          <xdr:rowOff>137160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32</xdr:row>
          <xdr:rowOff>114300</xdr:rowOff>
        </xdr:from>
        <xdr:to>
          <xdr:col>3</xdr:col>
          <xdr:colOff>1965960</xdr:colOff>
          <xdr:row>34</xdr:row>
          <xdr:rowOff>99060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100" b="1" i="1" u="none" strike="noStrike" baseline="0">
                  <a:solidFill>
                    <a:srgbClr val="000000"/>
                  </a:solidFill>
                  <a:latin typeface="Calibri"/>
                  <a:ea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8260080</xdr:colOff>
          <xdr:row>1</xdr:row>
          <xdr:rowOff>7620</xdr:rowOff>
        </xdr:from>
        <xdr:to>
          <xdr:col>2</xdr:col>
          <xdr:colOff>9906000</xdr:colOff>
          <xdr:row>1</xdr:row>
          <xdr:rowOff>487680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18</xdr:row>
          <xdr:rowOff>38100</xdr:rowOff>
        </xdr:from>
        <xdr:to>
          <xdr:col>1</xdr:col>
          <xdr:colOff>1028700</xdr:colOff>
          <xdr:row>21</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19</xdr:row>
          <xdr:rowOff>38100</xdr:rowOff>
        </xdr:from>
        <xdr:to>
          <xdr:col>1</xdr:col>
          <xdr:colOff>1028700</xdr:colOff>
          <xdr:row>22</xdr:row>
          <xdr:rowOff>22860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6</xdr:row>
          <xdr:rowOff>7620</xdr:rowOff>
        </xdr:from>
        <xdr:to>
          <xdr:col>1</xdr:col>
          <xdr:colOff>1021080</xdr:colOff>
          <xdr:row>9</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182880</xdr:rowOff>
        </xdr:from>
        <xdr:to>
          <xdr:col>3</xdr:col>
          <xdr:colOff>160020</xdr:colOff>
          <xdr:row>3</xdr:row>
          <xdr:rowOff>7620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22860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D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E00-000001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0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6</xdr:row>
          <xdr:rowOff>7620</xdr:rowOff>
        </xdr:from>
        <xdr:to>
          <xdr:col>1</xdr:col>
          <xdr:colOff>1021080</xdr:colOff>
          <xdr:row>9</xdr:row>
          <xdr:rowOff>7620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1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200-000001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22860</xdr:rowOff>
        </xdr:from>
        <xdr:to>
          <xdr:col>4</xdr:col>
          <xdr:colOff>175260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3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35">
          <cell r="AZ35">
            <v>2052722</v>
          </cell>
          <cell r="BA35">
            <v>2057284</v>
          </cell>
          <cell r="BB35">
            <v>2059794</v>
          </cell>
          <cell r="BC35">
            <v>2062294</v>
          </cell>
          <cell r="BD35">
            <v>2065769</v>
          </cell>
          <cell r="BE35">
            <v>2069172</v>
          </cell>
          <cell r="BF35">
            <v>2071278</v>
          </cell>
          <cell r="BG35">
            <v>2073702</v>
          </cell>
          <cell r="BH35">
            <v>2075301</v>
          </cell>
        </row>
        <row r="36">
          <cell r="AZ36">
            <v>2918674</v>
          </cell>
          <cell r="BA36">
            <v>2907361</v>
          </cell>
          <cell r="BB36">
            <v>2903008</v>
          </cell>
          <cell r="BC36">
            <v>2897770</v>
          </cell>
          <cell r="BD36">
            <v>2892394</v>
          </cell>
          <cell r="BE36">
            <v>2885796</v>
          </cell>
          <cell r="BF36">
            <v>2875592</v>
          </cell>
          <cell r="BG36">
            <v>2876591</v>
          </cell>
          <cell r="BH36">
            <v>2870324</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15" zoomScale="90" zoomScaleNormal="90" workbookViewId="0">
      <selection activeCell="C23" sqref="C23:D23"/>
    </sheetView>
  </sheetViews>
  <sheetFormatPr defaultColWidth="9.109375" defaultRowHeight="14.4" x14ac:dyDescent="0.3"/>
  <cols>
    <col min="1" max="1" width="15.5546875" style="19" customWidth="1"/>
    <col min="2" max="3" width="30.6640625" style="19" customWidth="1"/>
    <col min="4" max="4" width="42.5546875" style="19" customWidth="1"/>
    <col min="5" max="5" width="15.5546875" style="19" customWidth="1"/>
    <col min="6" max="6" width="24.6640625" style="19" customWidth="1"/>
    <col min="7" max="16384" width="9.109375" style="19"/>
  </cols>
  <sheetData>
    <row r="1" spans="1:5" ht="9" customHeight="1" x14ac:dyDescent="0.3"/>
    <row r="2" spans="1:5" ht="9" customHeight="1" x14ac:dyDescent="0.3"/>
    <row r="3" spans="1:5" ht="9" customHeight="1" x14ac:dyDescent="0.3"/>
    <row r="4" spans="1:5" ht="9" customHeight="1" x14ac:dyDescent="0.3"/>
    <row r="8" spans="1:5" ht="9" customHeight="1" x14ac:dyDescent="0.3"/>
    <row r="9" spans="1:5" ht="9" customHeight="1" x14ac:dyDescent="0.3"/>
    <row r="10" spans="1:5" ht="9" customHeight="1" x14ac:dyDescent="0.3"/>
    <row r="11" spans="1:5" ht="45" customHeight="1" x14ac:dyDescent="0.3">
      <c r="A11" s="23"/>
      <c r="B11" s="23"/>
      <c r="C11" s="18" t="s">
        <v>143</v>
      </c>
      <c r="D11" s="23"/>
      <c r="E11" s="23"/>
    </row>
    <row r="12" spans="1:5" x14ac:dyDescent="0.3">
      <c r="A12" s="23"/>
      <c r="B12" s="23"/>
      <c r="C12" s="23"/>
      <c r="D12" s="23"/>
      <c r="E12" s="23"/>
    </row>
    <row r="13" spans="1:5" ht="45" customHeight="1" x14ac:dyDescent="0.3">
      <c r="A13" s="141" t="s">
        <v>144</v>
      </c>
      <c r="B13" s="141"/>
      <c r="C13" s="141"/>
      <c r="D13" s="141"/>
      <c r="E13" s="141"/>
    </row>
    <row r="14" spans="1:5" ht="15" customHeight="1" thickBot="1" x14ac:dyDescent="0.35">
      <c r="A14" s="23"/>
      <c r="B14" s="24"/>
      <c r="C14" s="24"/>
      <c r="D14" s="24"/>
      <c r="E14" s="24"/>
    </row>
    <row r="15" spans="1:5" ht="21" customHeight="1" thickBot="1" x14ac:dyDescent="0.35">
      <c r="A15" s="23"/>
      <c r="B15" s="23"/>
      <c r="C15" s="49" t="s">
        <v>32</v>
      </c>
      <c r="D15" s="53" t="s">
        <v>178</v>
      </c>
      <c r="E15" s="25"/>
    </row>
    <row r="16" spans="1:5" ht="9" customHeight="1" x14ac:dyDescent="0.3">
      <c r="A16" s="23"/>
      <c r="B16" s="24"/>
      <c r="C16" s="24"/>
      <c r="D16" s="24"/>
      <c r="E16" s="24"/>
    </row>
    <row r="17" spans="1:5" ht="21" customHeight="1" x14ac:dyDescent="0.3">
      <c r="A17" s="26" t="s">
        <v>33</v>
      </c>
      <c r="B17" s="24"/>
      <c r="C17" s="23"/>
      <c r="D17" s="24"/>
      <c r="E17" s="24"/>
    </row>
    <row r="18" spans="1:5" ht="15" customHeight="1" thickBot="1" x14ac:dyDescent="0.35">
      <c r="A18" s="23"/>
      <c r="B18" s="24"/>
      <c r="C18" s="26"/>
      <c r="D18" s="24"/>
      <c r="E18" s="24"/>
    </row>
    <row r="19" spans="1:5" ht="21" customHeight="1" thickBot="1" x14ac:dyDescent="0.35">
      <c r="A19" s="23"/>
      <c r="B19" s="27" t="s">
        <v>34</v>
      </c>
      <c r="C19" s="142"/>
      <c r="D19" s="143"/>
      <c r="E19" s="23"/>
    </row>
    <row r="20" spans="1:5" ht="15" customHeight="1" thickBot="1" x14ac:dyDescent="0.35">
      <c r="A20" s="23"/>
      <c r="B20" s="27"/>
      <c r="C20" s="24"/>
      <c r="D20" s="24"/>
      <c r="E20" s="23"/>
    </row>
    <row r="21" spans="1:5" ht="21" customHeight="1" thickBot="1" x14ac:dyDescent="0.35">
      <c r="A21" s="23"/>
      <c r="B21" s="27" t="s">
        <v>35</v>
      </c>
      <c r="C21" s="144"/>
      <c r="D21" s="143"/>
      <c r="E21" s="23"/>
    </row>
    <row r="22" spans="1:5" ht="15" customHeight="1" thickBot="1" x14ac:dyDescent="0.35">
      <c r="A22" s="23"/>
      <c r="B22" s="27"/>
      <c r="C22" s="24"/>
      <c r="D22" s="24"/>
      <c r="E22" s="23"/>
    </row>
    <row r="23" spans="1:5" ht="21" customHeight="1" thickBot="1" x14ac:dyDescent="0.35">
      <c r="A23" s="23"/>
      <c r="B23" s="27" t="s">
        <v>36</v>
      </c>
      <c r="C23" s="142"/>
      <c r="D23" s="143"/>
      <c r="E23" s="23"/>
    </row>
    <row r="24" spans="1:5" ht="21" customHeight="1" x14ac:dyDescent="0.3">
      <c r="A24" s="23"/>
      <c r="B24" s="24"/>
      <c r="C24" s="24"/>
      <c r="D24" s="23"/>
      <c r="E24" s="23"/>
    </row>
    <row r="25" spans="1:5" ht="30" customHeight="1" x14ac:dyDescent="0.3">
      <c r="A25" s="23"/>
      <c r="B25" s="29"/>
      <c r="C25" s="29"/>
      <c r="D25" s="29"/>
      <c r="E25" s="23"/>
    </row>
    <row r="26" spans="1:5" ht="12" customHeight="1" x14ac:dyDescent="0.3">
      <c r="A26" s="23"/>
      <c r="B26" s="29"/>
      <c r="C26" s="29"/>
      <c r="D26" s="29"/>
      <c r="E26" s="23"/>
    </row>
    <row r="27" spans="1:5" ht="12" customHeight="1" x14ac:dyDescent="0.3">
      <c r="A27" s="23"/>
      <c r="B27" s="29"/>
      <c r="C27" s="29"/>
      <c r="D27" s="29"/>
      <c r="E27" s="23"/>
    </row>
    <row r="28" spans="1:5" ht="30" customHeight="1" x14ac:dyDescent="0.3">
      <c r="A28" s="23"/>
      <c r="B28" s="28"/>
      <c r="C28" s="29"/>
      <c r="D28" s="30"/>
      <c r="E28" s="23"/>
    </row>
    <row r="29" spans="1:5" ht="12" customHeight="1" x14ac:dyDescent="0.3">
      <c r="A29" s="23"/>
      <c r="B29" s="29"/>
      <c r="C29" s="29"/>
      <c r="D29" s="29"/>
      <c r="E29" s="23"/>
    </row>
    <row r="30" spans="1:5" ht="12" customHeight="1" x14ac:dyDescent="0.3">
      <c r="A30" s="23"/>
      <c r="B30" s="29"/>
      <c r="C30" s="29"/>
      <c r="D30" s="29"/>
      <c r="E30" s="23"/>
    </row>
    <row r="31" spans="1:5" ht="30" customHeight="1" x14ac:dyDescent="0.3">
      <c r="A31" s="23"/>
      <c r="B31" s="29"/>
      <c r="C31" s="29"/>
      <c r="D31" s="29"/>
      <c r="E31" s="23"/>
    </row>
    <row r="32" spans="1:5" ht="12" customHeight="1" x14ac:dyDescent="0.3">
      <c r="A32" s="23"/>
      <c r="B32" s="29"/>
      <c r="C32" s="29"/>
      <c r="D32" s="29"/>
      <c r="E32" s="23"/>
    </row>
    <row r="33" spans="1:5" ht="12" customHeight="1" x14ac:dyDescent="0.3">
      <c r="A33" s="23"/>
      <c r="B33" s="29"/>
      <c r="C33" s="29"/>
      <c r="D33" s="29"/>
      <c r="E33" s="23"/>
    </row>
    <row r="34" spans="1:5" ht="24" customHeight="1" x14ac:dyDescent="0.3">
      <c r="A34" s="23"/>
      <c r="B34" s="29"/>
      <c r="C34" s="29"/>
      <c r="D34" s="29"/>
      <c r="E34" s="22"/>
    </row>
    <row r="35" spans="1:5" ht="12" customHeight="1" x14ac:dyDescent="0.3">
      <c r="A35" s="23"/>
      <c r="B35" s="29"/>
      <c r="C35" s="29"/>
      <c r="D35" s="29"/>
      <c r="E35" s="23"/>
    </row>
    <row r="36" spans="1:5" ht="21" customHeight="1" x14ac:dyDescent="0.3">
      <c r="A36" s="23"/>
      <c r="B36" s="23"/>
      <c r="C36" s="24"/>
      <c r="D36" s="24"/>
      <c r="E36" s="23"/>
    </row>
    <row r="37" spans="1:5" ht="45" customHeight="1" x14ac:dyDescent="0.3">
      <c r="A37" s="140" t="s">
        <v>142</v>
      </c>
      <c r="B37" s="140"/>
      <c r="C37" s="140"/>
      <c r="D37" s="140"/>
      <c r="E37" s="140"/>
    </row>
    <row r="38" spans="1:5" ht="15" customHeight="1" x14ac:dyDescent="0.3">
      <c r="A38" s="50"/>
      <c r="B38" s="50"/>
      <c r="C38" s="50"/>
      <c r="D38" s="50"/>
      <c r="E38" s="50"/>
    </row>
    <row r="39" spans="1:5" ht="21" customHeight="1" x14ac:dyDescent="0.3">
      <c r="A39" s="140" t="s">
        <v>39</v>
      </c>
      <c r="B39" s="140"/>
      <c r="C39" s="140"/>
      <c r="D39" s="140"/>
      <c r="E39" s="140"/>
    </row>
    <row r="40" spans="1:5" ht="45" customHeight="1" x14ac:dyDescent="0.3">
      <c r="A40" s="140" t="s">
        <v>148</v>
      </c>
      <c r="B40" s="140"/>
      <c r="C40" s="140"/>
      <c r="D40" s="140"/>
      <c r="E40" s="140"/>
    </row>
    <row r="41" spans="1:5" ht="21" customHeight="1" x14ac:dyDescent="0.3">
      <c r="A41" s="50"/>
      <c r="B41" s="49" t="s">
        <v>34</v>
      </c>
      <c r="C41" s="51" t="s">
        <v>40</v>
      </c>
      <c r="D41" s="51"/>
      <c r="E41" s="51"/>
    </row>
    <row r="42" spans="1:5" ht="21" customHeight="1" x14ac:dyDescent="0.3">
      <c r="A42" s="50"/>
      <c r="B42" s="49" t="s">
        <v>37</v>
      </c>
      <c r="C42" s="139" t="s">
        <v>314</v>
      </c>
      <c r="D42" s="51"/>
      <c r="E42" s="51"/>
    </row>
    <row r="43" spans="1:5" ht="21" customHeight="1" x14ac:dyDescent="0.3">
      <c r="A43" s="50"/>
      <c r="B43" s="49" t="s">
        <v>38</v>
      </c>
      <c r="C43" s="52" t="s">
        <v>41</v>
      </c>
      <c r="D43" s="51"/>
      <c r="E43" s="51"/>
    </row>
    <row r="44" spans="1:5" ht="21" customHeight="1" x14ac:dyDescent="0.3"/>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137160</xdr:colOff>
                    <xdr:row>26</xdr:row>
                    <xdr:rowOff>144780</xdr:rowOff>
                  </from>
                  <to>
                    <xdr:col>1</xdr:col>
                    <xdr:colOff>1927860</xdr:colOff>
                    <xdr:row>28</xdr:row>
                    <xdr:rowOff>137160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137160</xdr:colOff>
                    <xdr:row>29</xdr:row>
                    <xdr:rowOff>121920</xdr:rowOff>
                  </from>
                  <to>
                    <xdr:col>1</xdr:col>
                    <xdr:colOff>1927860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144780</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137160</xdr:colOff>
                    <xdr:row>24</xdr:row>
                    <xdr:rowOff>7620</xdr:rowOff>
                  </from>
                  <to>
                    <xdr:col>2</xdr:col>
                    <xdr:colOff>1935480</xdr:colOff>
                    <xdr:row>25</xdr:row>
                    <xdr:rowOff>137160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175260</xdr:colOff>
                    <xdr:row>29</xdr:row>
                    <xdr:rowOff>121920</xdr:rowOff>
                  </from>
                  <to>
                    <xdr:col>3</xdr:col>
                    <xdr:colOff>1943100</xdr:colOff>
                    <xdr:row>31</xdr:row>
                    <xdr:rowOff>99060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137160</xdr:colOff>
                    <xdr:row>32</xdr:row>
                    <xdr:rowOff>121920</xdr:rowOff>
                  </from>
                  <to>
                    <xdr:col>2</xdr:col>
                    <xdr:colOff>1935480</xdr:colOff>
                    <xdr:row>34</xdr:row>
                    <xdr:rowOff>106680</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137160</xdr:colOff>
                    <xdr:row>24</xdr:row>
                    <xdr:rowOff>7620</xdr:rowOff>
                  </from>
                  <to>
                    <xdr:col>1</xdr:col>
                    <xdr:colOff>1927860</xdr:colOff>
                    <xdr:row>25</xdr:row>
                    <xdr:rowOff>137160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7620</xdr:rowOff>
                  </from>
                  <to>
                    <xdr:col>3</xdr:col>
                    <xdr:colOff>1943100</xdr:colOff>
                    <xdr:row>25</xdr:row>
                    <xdr:rowOff>137160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137160</xdr:colOff>
                    <xdr:row>26</xdr:row>
                    <xdr:rowOff>144780</xdr:rowOff>
                  </from>
                  <to>
                    <xdr:col>2</xdr:col>
                    <xdr:colOff>1927860</xdr:colOff>
                    <xdr:row>28</xdr:row>
                    <xdr:rowOff>137160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137160</xdr:colOff>
                    <xdr:row>29</xdr:row>
                    <xdr:rowOff>121920</xdr:rowOff>
                  </from>
                  <to>
                    <xdr:col>2</xdr:col>
                    <xdr:colOff>1927860</xdr:colOff>
                    <xdr:row>31</xdr:row>
                    <xdr:rowOff>99060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137160</xdr:colOff>
                    <xdr:row>32</xdr:row>
                    <xdr:rowOff>68580</xdr:rowOff>
                  </from>
                  <to>
                    <xdr:col>1</xdr:col>
                    <xdr:colOff>1927860</xdr:colOff>
                    <xdr:row>34</xdr:row>
                    <xdr:rowOff>137160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160020</xdr:colOff>
                    <xdr:row>32</xdr:row>
                    <xdr:rowOff>114300</xdr:rowOff>
                  </from>
                  <to>
                    <xdr:col>3</xdr:col>
                    <xdr:colOff>1965960</xdr:colOff>
                    <xdr:row>34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election activeCell="B15" sqref="B15:B16"/>
    </sheetView>
  </sheetViews>
  <sheetFormatPr defaultColWidth="9.109375" defaultRowHeight="14.4" x14ac:dyDescent="0.3"/>
  <cols>
    <col min="1" max="1" width="3.6640625" style="19" customWidth="1"/>
    <col min="2" max="2" width="48.6640625" style="19" customWidth="1"/>
    <col min="3" max="3" width="148.6640625" style="19" customWidth="1"/>
    <col min="4" max="4" width="3.6640625" style="19" customWidth="1"/>
    <col min="5" max="16384" width="9.109375" style="19"/>
  </cols>
  <sheetData>
    <row r="1" spans="2:3" ht="9" customHeight="1" x14ac:dyDescent="0.3"/>
    <row r="2" spans="2:3" ht="39" customHeight="1" x14ac:dyDescent="0.3">
      <c r="B2" s="145" t="s">
        <v>145</v>
      </c>
      <c r="C2" s="146"/>
    </row>
    <row r="3" spans="2:3" ht="9.75" customHeight="1" x14ac:dyDescent="0.3">
      <c r="B3" s="60"/>
      <c r="C3" s="61"/>
    </row>
    <row r="4" spans="2:3" ht="36" customHeight="1" x14ac:dyDescent="0.3">
      <c r="B4" s="147" t="s">
        <v>82</v>
      </c>
      <c r="C4" s="62" t="s">
        <v>83</v>
      </c>
    </row>
    <row r="5" spans="2:3" ht="36" customHeight="1" x14ac:dyDescent="0.3">
      <c r="B5" s="148"/>
      <c r="C5" s="63" t="s">
        <v>134</v>
      </c>
    </row>
    <row r="6" spans="2:3" ht="36" customHeight="1" x14ac:dyDescent="0.3">
      <c r="B6" s="148"/>
      <c r="C6" s="63" t="s">
        <v>146</v>
      </c>
    </row>
    <row r="7" spans="2:3" ht="45" customHeight="1" x14ac:dyDescent="0.3">
      <c r="B7" s="149"/>
      <c r="C7" s="64" t="s">
        <v>84</v>
      </c>
    </row>
    <row r="8" spans="2:3" ht="9.75" customHeight="1" x14ac:dyDescent="0.3">
      <c r="B8" s="65"/>
      <c r="C8" s="66"/>
    </row>
    <row r="9" spans="2:3" ht="30" customHeight="1" x14ac:dyDescent="0.3">
      <c r="B9" s="67" t="s">
        <v>112</v>
      </c>
      <c r="C9" s="68"/>
    </row>
    <row r="10" spans="2:3" ht="9" customHeight="1" x14ac:dyDescent="0.3">
      <c r="B10" s="69"/>
      <c r="C10" s="63"/>
    </row>
    <row r="11" spans="2:3" ht="30" customHeight="1" x14ac:dyDescent="0.3">
      <c r="B11" s="70" t="s">
        <v>13</v>
      </c>
      <c r="C11" s="63" t="s">
        <v>147</v>
      </c>
    </row>
    <row r="12" spans="2:3" ht="15" customHeight="1" x14ac:dyDescent="0.3">
      <c r="B12" s="69"/>
      <c r="C12" s="63"/>
    </row>
    <row r="13" spans="2:3" ht="60" customHeight="1" x14ac:dyDescent="0.3">
      <c r="B13" s="70" t="s">
        <v>15</v>
      </c>
      <c r="C13" s="63" t="s">
        <v>136</v>
      </c>
    </row>
    <row r="14" spans="2:3" ht="15" customHeight="1" x14ac:dyDescent="0.3">
      <c r="B14" s="69"/>
      <c r="C14" s="63"/>
    </row>
    <row r="15" spans="2:3" ht="45" customHeight="1" x14ac:dyDescent="0.3">
      <c r="B15" s="150" t="s">
        <v>29</v>
      </c>
      <c r="C15" s="63" t="s">
        <v>312</v>
      </c>
    </row>
    <row r="16" spans="2:3" ht="63" customHeight="1" x14ac:dyDescent="0.3">
      <c r="B16" s="151"/>
      <c r="C16" s="63" t="s">
        <v>310</v>
      </c>
    </row>
    <row r="17" spans="2:3" ht="30" hidden="1" customHeight="1" x14ac:dyDescent="0.3">
      <c r="B17" s="69"/>
      <c r="C17" s="63" t="s">
        <v>120</v>
      </c>
    </row>
    <row r="18" spans="2:3" ht="63" hidden="1" customHeight="1" x14ac:dyDescent="0.3">
      <c r="B18" s="69"/>
      <c r="C18" s="63" t="s">
        <v>121</v>
      </c>
    </row>
    <row r="19" spans="2:3" ht="135" hidden="1" customHeight="1" x14ac:dyDescent="0.3">
      <c r="B19" s="69"/>
      <c r="C19" s="63" t="s">
        <v>122</v>
      </c>
    </row>
    <row r="20" spans="2:3" ht="60" hidden="1" customHeight="1" x14ac:dyDescent="0.3">
      <c r="B20" s="69"/>
      <c r="C20" s="63" t="s">
        <v>123</v>
      </c>
    </row>
    <row r="21" spans="2:3" ht="15" customHeight="1" x14ac:dyDescent="0.3">
      <c r="B21" s="69"/>
      <c r="C21" s="63"/>
    </row>
    <row r="22" spans="2:3" ht="30" customHeight="1" x14ac:dyDescent="0.3">
      <c r="B22" s="70" t="s">
        <v>156</v>
      </c>
      <c r="C22" s="63" t="s">
        <v>309</v>
      </c>
    </row>
    <row r="23" spans="2:3" ht="15" customHeight="1" x14ac:dyDescent="0.3">
      <c r="B23" s="69"/>
      <c r="C23" s="63"/>
    </row>
    <row r="24" spans="2:3" ht="75" customHeight="1" x14ac:dyDescent="0.3">
      <c r="B24" s="70" t="s">
        <v>110</v>
      </c>
      <c r="C24" s="63" t="s">
        <v>313</v>
      </c>
    </row>
    <row r="25" spans="2:3" ht="9" customHeight="1" x14ac:dyDescent="0.3">
      <c r="B25" s="71"/>
      <c r="C25" s="63"/>
    </row>
    <row r="26" spans="2:3" ht="15" customHeight="1" x14ac:dyDescent="0.3">
      <c r="B26" s="72" t="s">
        <v>124</v>
      </c>
      <c r="C26" s="63"/>
    </row>
    <row r="27" spans="2:3" ht="60" customHeight="1" x14ac:dyDescent="0.3">
      <c r="B27" s="69" t="s">
        <v>113</v>
      </c>
      <c r="C27" s="63" t="s">
        <v>308</v>
      </c>
    </row>
    <row r="28" spans="2:3" ht="9" customHeight="1" x14ac:dyDescent="0.3">
      <c r="B28" s="69"/>
      <c r="C28" s="63"/>
    </row>
    <row r="29" spans="2:3" ht="30" customHeight="1" x14ac:dyDescent="0.3">
      <c r="B29" s="69" t="s">
        <v>114</v>
      </c>
      <c r="C29" s="63" t="s">
        <v>137</v>
      </c>
    </row>
    <row r="30" spans="2:3" ht="9" customHeight="1" x14ac:dyDescent="0.3">
      <c r="B30" s="69"/>
      <c r="C30" s="63"/>
    </row>
    <row r="31" spans="2:3" ht="105" customHeight="1" x14ac:dyDescent="0.3">
      <c r="B31" s="152" t="s">
        <v>115</v>
      </c>
      <c r="C31" s="63" t="s">
        <v>311</v>
      </c>
    </row>
    <row r="32" spans="2:3" ht="105" customHeight="1" x14ac:dyDescent="0.3">
      <c r="B32" s="153"/>
      <c r="C32" s="63" t="s">
        <v>119</v>
      </c>
    </row>
    <row r="33" spans="1:3" ht="15" customHeight="1" x14ac:dyDescent="0.3">
      <c r="B33" s="69"/>
      <c r="C33" s="63"/>
    </row>
    <row r="34" spans="1:3" ht="30" customHeight="1" x14ac:dyDescent="0.3">
      <c r="B34" s="72" t="s">
        <v>129</v>
      </c>
      <c r="C34" s="63" t="s">
        <v>130</v>
      </c>
    </row>
    <row r="35" spans="1:3" ht="15" customHeight="1" x14ac:dyDescent="0.3">
      <c r="B35" s="69"/>
      <c r="C35" s="63"/>
    </row>
    <row r="36" spans="1:3" ht="18" customHeight="1" x14ac:dyDescent="0.3">
      <c r="B36" s="70" t="s">
        <v>111</v>
      </c>
      <c r="C36" s="63" t="s">
        <v>125</v>
      </c>
    </row>
    <row r="37" spans="1:3" ht="9" customHeight="1" x14ac:dyDescent="0.3">
      <c r="B37" s="71"/>
      <c r="C37" s="63"/>
    </row>
    <row r="38" spans="1:3" ht="15" customHeight="1" x14ac:dyDescent="0.3">
      <c r="B38" s="72" t="s">
        <v>124</v>
      </c>
      <c r="C38" s="63"/>
    </row>
    <row r="39" spans="1:3" ht="30" customHeight="1" x14ac:dyDescent="0.3">
      <c r="B39" s="69" t="s">
        <v>116</v>
      </c>
      <c r="C39" s="63" t="s">
        <v>126</v>
      </c>
    </row>
    <row r="40" spans="1:3" ht="9" customHeight="1" x14ac:dyDescent="0.3">
      <c r="B40" s="69"/>
      <c r="C40" s="63"/>
    </row>
    <row r="41" spans="1:3" ht="30" customHeight="1" x14ac:dyDescent="0.3">
      <c r="B41" s="152" t="s">
        <v>117</v>
      </c>
      <c r="C41" s="63" t="s">
        <v>127</v>
      </c>
    </row>
    <row r="42" spans="1:3" ht="59.25" customHeight="1" x14ac:dyDescent="0.3">
      <c r="B42" s="153"/>
      <c r="C42" s="63" t="s">
        <v>172</v>
      </c>
    </row>
    <row r="43" spans="1:3" ht="9" customHeight="1" x14ac:dyDescent="0.3">
      <c r="A43" s="43"/>
      <c r="B43" s="69"/>
      <c r="C43" s="63"/>
    </row>
    <row r="44" spans="1:3" ht="90" customHeight="1" x14ac:dyDescent="0.3">
      <c r="B44" s="69" t="s">
        <v>118</v>
      </c>
      <c r="C44" s="63" t="s">
        <v>128</v>
      </c>
    </row>
    <row r="45" spans="1:3" ht="14.25" customHeight="1" x14ac:dyDescent="0.3">
      <c r="B45" s="69"/>
      <c r="C45" s="63"/>
    </row>
    <row r="46" spans="1:3" ht="42" customHeight="1" x14ac:dyDescent="0.3">
      <c r="B46" s="69" t="s">
        <v>184</v>
      </c>
      <c r="C46" s="63" t="s">
        <v>186</v>
      </c>
    </row>
    <row r="47" spans="1:3" ht="15" customHeight="1" x14ac:dyDescent="0.3">
      <c r="B47" s="69"/>
      <c r="C47" s="63"/>
    </row>
    <row r="48" spans="1:3" ht="30" customHeight="1" x14ac:dyDescent="0.3">
      <c r="B48" s="72" t="s">
        <v>129</v>
      </c>
      <c r="C48" s="63" t="s">
        <v>131</v>
      </c>
    </row>
    <row r="49" spans="2:3" ht="18" customHeight="1" x14ac:dyDescent="0.3">
      <c r="B49" s="73"/>
      <c r="C49" s="64"/>
    </row>
    <row r="50" spans="2:3" ht="9" customHeight="1" x14ac:dyDescent="0.3">
      <c r="B50" s="74"/>
      <c r="C50" s="74"/>
    </row>
    <row r="51" spans="2:3" ht="36" customHeight="1" x14ac:dyDescent="0.3">
      <c r="B51" s="75" t="s">
        <v>85</v>
      </c>
      <c r="C51" s="68"/>
    </row>
    <row r="52" spans="2:3" ht="24" customHeight="1" x14ac:dyDescent="0.3">
      <c r="B52" s="76" t="s">
        <v>86</v>
      </c>
      <c r="C52" s="63"/>
    </row>
    <row r="53" spans="2:3" ht="12" customHeight="1" x14ac:dyDescent="0.3">
      <c r="B53" s="77"/>
      <c r="C53" s="63"/>
    </row>
    <row r="54" spans="2:3" x14ac:dyDescent="0.3">
      <c r="B54" s="71" t="s">
        <v>93</v>
      </c>
      <c r="C54" s="63" t="s">
        <v>87</v>
      </c>
    </row>
    <row r="55" spans="2:3" ht="12" customHeight="1" x14ac:dyDescent="0.3">
      <c r="B55" s="77"/>
      <c r="C55" s="63"/>
    </row>
    <row r="56" spans="2:3" x14ac:dyDescent="0.3">
      <c r="B56" s="71" t="s">
        <v>94</v>
      </c>
      <c r="C56" s="63" t="s">
        <v>180</v>
      </c>
    </row>
    <row r="57" spans="2:3" x14ac:dyDescent="0.3">
      <c r="B57" s="77"/>
      <c r="C57" s="63" t="s">
        <v>88</v>
      </c>
    </row>
    <row r="58" spans="2:3" ht="12" customHeight="1" x14ac:dyDescent="0.3">
      <c r="B58" s="77"/>
      <c r="C58" s="63"/>
    </row>
    <row r="59" spans="2:3" x14ac:dyDescent="0.3">
      <c r="B59" s="71" t="s">
        <v>95</v>
      </c>
      <c r="C59" s="63" t="s">
        <v>181</v>
      </c>
    </row>
    <row r="60" spans="2:3" x14ac:dyDescent="0.3">
      <c r="B60" s="77"/>
      <c r="C60" s="63" t="s">
        <v>89</v>
      </c>
    </row>
    <row r="61" spans="2:3" ht="12" customHeight="1" x14ac:dyDescent="0.3">
      <c r="B61" s="77"/>
      <c r="C61" s="63"/>
    </row>
    <row r="62" spans="2:3" x14ac:dyDescent="0.3">
      <c r="B62" s="71" t="s">
        <v>96</v>
      </c>
      <c r="C62" s="63" t="s">
        <v>182</v>
      </c>
    </row>
    <row r="63" spans="2:3" ht="18" customHeight="1" x14ac:dyDescent="0.3">
      <c r="B63" s="77"/>
      <c r="C63" s="63" t="s">
        <v>90</v>
      </c>
    </row>
    <row r="64" spans="2:3" ht="12" customHeight="1" x14ac:dyDescent="0.3">
      <c r="B64" s="77"/>
      <c r="C64" s="63"/>
    </row>
    <row r="65" spans="2:3" x14ac:dyDescent="0.3">
      <c r="B65" s="71" t="s">
        <v>97</v>
      </c>
      <c r="C65" s="63" t="s">
        <v>99</v>
      </c>
    </row>
    <row r="66" spans="2:3" ht="12" customHeight="1" x14ac:dyDescent="0.3">
      <c r="B66" s="77"/>
      <c r="C66" s="63"/>
    </row>
    <row r="67" spans="2:3" ht="28.8" x14ac:dyDescent="0.3">
      <c r="B67" s="71" t="s">
        <v>98</v>
      </c>
      <c r="C67" s="63" t="s">
        <v>91</v>
      </c>
    </row>
    <row r="68" spans="2:3" ht="12" customHeight="1" x14ac:dyDescent="0.3">
      <c r="B68" s="77"/>
      <c r="C68" s="63"/>
    </row>
    <row r="69" spans="2:3" ht="12" customHeight="1" x14ac:dyDescent="0.3">
      <c r="B69" s="77"/>
      <c r="C69" s="63"/>
    </row>
    <row r="70" spans="2:3" ht="43.2" x14ac:dyDescent="0.3">
      <c r="B70" s="78" t="s">
        <v>5</v>
      </c>
      <c r="C70" s="64" t="s">
        <v>92</v>
      </c>
    </row>
    <row r="71" spans="2:3" ht="9" customHeight="1" x14ac:dyDescent="0.3">
      <c r="B71" s="74"/>
      <c r="C71" s="74"/>
    </row>
    <row r="72" spans="2:3" ht="28.8" x14ac:dyDescent="0.3">
      <c r="B72" s="87" t="s">
        <v>135</v>
      </c>
      <c r="C72" s="79" t="s">
        <v>183</v>
      </c>
    </row>
    <row r="73" spans="2:3" ht="9" customHeight="1" x14ac:dyDescent="0.3">
      <c r="B73" s="74"/>
      <c r="C73" s="74"/>
    </row>
    <row r="74" spans="2:3" ht="24" customHeight="1" x14ac:dyDescent="0.3">
      <c r="B74" s="80" t="s">
        <v>100</v>
      </c>
      <c r="C74" s="81"/>
    </row>
    <row r="75" spans="2:3" ht="12" customHeight="1" x14ac:dyDescent="0.3">
      <c r="B75" s="82"/>
      <c r="C75" s="83"/>
    </row>
    <row r="76" spans="2:3" x14ac:dyDescent="0.3">
      <c r="B76" s="84" t="s">
        <v>102</v>
      </c>
      <c r="C76" s="83" t="s">
        <v>101</v>
      </c>
    </row>
    <row r="77" spans="2:3" x14ac:dyDescent="0.3">
      <c r="B77" s="84" t="s">
        <v>103</v>
      </c>
      <c r="C77" s="83" t="s">
        <v>109</v>
      </c>
    </row>
    <row r="78" spans="2:3" x14ac:dyDescent="0.3">
      <c r="B78" s="84" t="s">
        <v>132</v>
      </c>
      <c r="C78" s="83" t="s">
        <v>133</v>
      </c>
    </row>
    <row r="79" spans="2:3" x14ac:dyDescent="0.3">
      <c r="B79" s="84" t="s">
        <v>16</v>
      </c>
      <c r="C79" s="83" t="s">
        <v>106</v>
      </c>
    </row>
    <row r="80" spans="2:3" x14ac:dyDescent="0.3">
      <c r="B80" s="84" t="s">
        <v>107</v>
      </c>
      <c r="C80" s="83" t="s">
        <v>104</v>
      </c>
    </row>
    <row r="81" spans="2:3" x14ac:dyDescent="0.3">
      <c r="B81" s="85" t="s">
        <v>108</v>
      </c>
      <c r="C81" s="86" t="s">
        <v>105</v>
      </c>
    </row>
    <row r="82" spans="2:3" ht="24" customHeight="1" x14ac:dyDescent="0.3"/>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8260080</xdr:colOff>
                    <xdr:row>1</xdr:row>
                    <xdr:rowOff>7620</xdr:rowOff>
                  </from>
                  <to>
                    <xdr:col>2</xdr:col>
                    <xdr:colOff>9906000</xdr:colOff>
                    <xdr:row>1</xdr:row>
                    <xdr:rowOff>487680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defaultColWidth="9.109375" defaultRowHeight="11.4" x14ac:dyDescent="0.2"/>
  <cols>
    <col min="1" max="1" width="9.109375" style="4"/>
    <col min="2" max="2" width="54.6640625" style="4" customWidth="1"/>
    <col min="3" max="3" width="10.6640625" style="4" customWidth="1"/>
    <col min="4" max="4" width="15.6640625" style="13" customWidth="1"/>
    <col min="5" max="15" width="15.6640625" style="4" customWidth="1"/>
    <col min="16" max="122" width="9.109375" style="4"/>
    <col min="123" max="134" width="0" style="4" hidden="1" customWidth="1"/>
    <col min="135" max="16384" width="9.109375" style="4"/>
  </cols>
  <sheetData>
    <row r="1" spans="1:134" ht="24" customHeight="1" x14ac:dyDescent="0.25">
      <c r="A1" s="159" t="s">
        <v>0</v>
      </c>
      <c r="B1" s="160"/>
      <c r="C1" s="20"/>
      <c r="D1" s="1"/>
      <c r="E1" s="2"/>
      <c r="F1" s="2"/>
      <c r="G1" s="2"/>
      <c r="H1" s="2"/>
      <c r="I1" s="2"/>
      <c r="J1" s="2"/>
      <c r="K1" s="2"/>
      <c r="L1" s="2"/>
      <c r="M1" s="2"/>
      <c r="N1" s="2"/>
      <c r="O1" s="2"/>
    </row>
    <row r="2" spans="1:134" ht="18" customHeight="1" x14ac:dyDescent="0.3">
      <c r="A2" s="161"/>
      <c r="B2" s="162"/>
      <c r="C2" s="1"/>
      <c r="D2" s="1"/>
      <c r="E2" s="5"/>
      <c r="F2" s="3"/>
      <c r="G2" s="3"/>
      <c r="H2" s="3"/>
      <c r="I2" s="3"/>
      <c r="J2" s="3"/>
      <c r="K2" s="3"/>
      <c r="L2" s="3"/>
      <c r="M2" s="3"/>
      <c r="N2" s="3"/>
      <c r="O2" s="3"/>
    </row>
    <row r="3" spans="1:134" ht="18" customHeight="1" x14ac:dyDescent="0.35">
      <c r="A3" s="163" t="s">
        <v>12</v>
      </c>
      <c r="B3" s="164"/>
      <c r="C3" s="1"/>
      <c r="D3" s="1"/>
      <c r="E3" s="5"/>
      <c r="F3" s="3"/>
      <c r="G3" s="3"/>
      <c r="H3" s="3"/>
      <c r="I3" s="3"/>
      <c r="J3" s="3"/>
      <c r="K3" s="3"/>
      <c r="L3" s="3"/>
      <c r="M3" s="3"/>
      <c r="N3" s="3"/>
      <c r="O3" s="3"/>
      <c r="DS3" s="4" t="s">
        <v>229</v>
      </c>
    </row>
    <row r="4" spans="1:134" ht="18" customHeight="1" x14ac:dyDescent="0.3">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3">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MK</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v>9788</v>
      </c>
      <c r="E9" s="89">
        <v>9070</v>
      </c>
      <c r="F9" s="89">
        <v>9320</v>
      </c>
      <c r="G9" s="89">
        <v>8472</v>
      </c>
      <c r="H9" s="89">
        <v>8356</v>
      </c>
      <c r="I9" s="89">
        <v>10486</v>
      </c>
      <c r="J9" s="89">
        <v>9156</v>
      </c>
      <c r="K9" s="89">
        <v>9852</v>
      </c>
      <c r="L9" s="89">
        <v>10288</v>
      </c>
      <c r="M9" s="89"/>
      <c r="N9" s="89"/>
      <c r="O9" s="89"/>
      <c r="DT9" s="4" t="s">
        <v>279</v>
      </c>
      <c r="EB9" s="4" t="s">
        <v>300</v>
      </c>
      <c r="ED9" s="4" t="s">
        <v>301</v>
      </c>
    </row>
    <row r="10" spans="1:134" ht="24" customHeight="1" x14ac:dyDescent="0.2">
      <c r="A10" s="157" t="s">
        <v>20</v>
      </c>
      <c r="B10" s="158"/>
      <c r="C10" s="9" t="s">
        <v>132</v>
      </c>
      <c r="D10" s="88">
        <v>43683</v>
      </c>
      <c r="E10" s="89">
        <v>43707.187668536106</v>
      </c>
      <c r="F10" s="89">
        <v>44161.876975679981</v>
      </c>
      <c r="G10" s="89">
        <v>45145.932705507796</v>
      </c>
      <c r="H10" s="89">
        <v>45157.595052088807</v>
      </c>
      <c r="I10" s="89">
        <v>45269.918487430812</v>
      </c>
      <c r="J10" s="89">
        <v>45434.955999999998</v>
      </c>
      <c r="K10" s="89">
        <v>45353</v>
      </c>
      <c r="L10" s="89">
        <v>45377</v>
      </c>
      <c r="M10" s="89"/>
      <c r="N10" s="89"/>
      <c r="O10" s="89"/>
      <c r="DT10" s="4" t="s">
        <v>280</v>
      </c>
      <c r="EB10" s="4" t="s">
        <v>300</v>
      </c>
      <c r="ED10" s="4" t="s">
        <v>301</v>
      </c>
    </row>
    <row r="11" spans="1:134" s="13" customFormat="1" ht="15" customHeight="1" x14ac:dyDescent="0.2">
      <c r="A11" s="156" t="s">
        <v>18</v>
      </c>
      <c r="B11" s="102" t="s">
        <v>21</v>
      </c>
      <c r="C11" s="103" t="s">
        <v>132</v>
      </c>
      <c r="D11" s="107">
        <v>46501</v>
      </c>
      <c r="E11" s="107">
        <v>46535</v>
      </c>
      <c r="F11" s="108">
        <v>46660</v>
      </c>
      <c r="G11" s="108">
        <v>46836</v>
      </c>
      <c r="H11" s="108">
        <v>46768</v>
      </c>
      <c r="I11" s="108">
        <v>46799</v>
      </c>
      <c r="J11" s="108">
        <v>46800</v>
      </c>
      <c r="K11" s="108">
        <v>46800</v>
      </c>
      <c r="L11" s="108">
        <v>46799</v>
      </c>
      <c r="M11" s="108"/>
      <c r="N11" s="108"/>
      <c r="O11" s="108"/>
      <c r="DT11" s="13" t="s">
        <v>281</v>
      </c>
      <c r="EB11" s="13" t="s">
        <v>300</v>
      </c>
      <c r="ED11" s="13" t="s">
        <v>301</v>
      </c>
    </row>
    <row r="12" spans="1:134" s="13" customFormat="1" ht="15" customHeight="1" x14ac:dyDescent="0.2">
      <c r="A12" s="156"/>
      <c r="B12" s="102" t="s">
        <v>22</v>
      </c>
      <c r="C12" s="103" t="s">
        <v>132</v>
      </c>
      <c r="D12" s="107"/>
      <c r="E12" s="108"/>
      <c r="F12" s="108"/>
      <c r="G12" s="108"/>
      <c r="H12" s="108"/>
      <c r="I12" s="108"/>
      <c r="J12" s="108"/>
      <c r="K12" s="108"/>
      <c r="L12" s="107"/>
      <c r="M12" s="107"/>
      <c r="N12" s="107"/>
      <c r="O12" s="107"/>
      <c r="DT12" s="13" t="s">
        <v>282</v>
      </c>
      <c r="EB12" s="13" t="s">
        <v>300</v>
      </c>
      <c r="ED12" s="13" t="s">
        <v>301</v>
      </c>
    </row>
    <row r="13" spans="1:134" s="13" customFormat="1" ht="15" customHeight="1" x14ac:dyDescent="0.2">
      <c r="A13" s="156"/>
      <c r="B13" s="102" t="s">
        <v>23</v>
      </c>
      <c r="C13" s="103" t="s">
        <v>132</v>
      </c>
      <c r="D13" s="107">
        <v>42920</v>
      </c>
      <c r="E13" s="108">
        <v>42924</v>
      </c>
      <c r="F13" s="108">
        <v>42934</v>
      </c>
      <c r="G13" s="108">
        <v>42937</v>
      </c>
      <c r="H13" s="108">
        <v>42950</v>
      </c>
      <c r="I13" s="108">
        <v>42950</v>
      </c>
      <c r="J13" s="108">
        <v>42950</v>
      </c>
      <c r="K13" s="108">
        <v>42950</v>
      </c>
      <c r="L13" s="107">
        <v>42948</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22860</xdr:colOff>
                    <xdr:row>18</xdr:row>
                    <xdr:rowOff>30480</xdr:rowOff>
                  </from>
                  <to>
                    <xdr:col>1</xdr:col>
                    <xdr:colOff>1028700</xdr:colOff>
                    <xdr:row>21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topLeftCell="A4" zoomScale="90" zoomScaleNormal="90" workbookViewId="0">
      <pane xSplit="3" topLeftCell="D1" activePane="topRight" state="frozen"/>
      <selection activeCell="C5" sqref="C5:C43"/>
      <selection pane="topRight" activeCell="D11" sqref="D11:D13"/>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North Macedonia</v>
      </c>
      <c r="D2" s="1"/>
      <c r="E2" s="5"/>
      <c r="F2" s="3"/>
      <c r="G2" s="3"/>
      <c r="H2" s="3"/>
      <c r="I2" s="3"/>
      <c r="J2" s="3"/>
      <c r="K2" s="3"/>
    </row>
    <row r="3" spans="1:11" ht="18" customHeight="1" x14ac:dyDescent="0.3">
      <c r="A3" s="171" t="s">
        <v>2</v>
      </c>
      <c r="B3" s="173"/>
      <c r="C3" s="106">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14</v>
      </c>
      <c r="D6" s="109">
        <f ca="1">SUM(E6:J6)</f>
        <v>4147.6234937963882</v>
      </c>
      <c r="E6" s="110">
        <f ca="1">INDIRECT(ADDRESS(ROW(K6),$C$3 -2010 + 4,,,"1a_SpaceHeating"))</f>
        <v>1248.8613412416476</v>
      </c>
      <c r="F6" s="110">
        <f ca="1">INDIRECT(ADDRESS(ROW(K6),$C$3-2010+4,,,"1b_SpaceCooling"))</f>
        <v>160.1342034966672</v>
      </c>
      <c r="G6" s="110">
        <f ca="1">INDIRECT(ADDRESS(ROW(K6),$C$3-2010+4,,,"1c_WaterHeating"))</f>
        <v>968.80667507518103</v>
      </c>
      <c r="H6" s="110">
        <f ca="1">INDIRECT(ADDRESS(ROW(K6),$C$3-2010+4,,,"1d_Cooking"))</f>
        <v>585.20636462757477</v>
      </c>
      <c r="I6" s="110">
        <f ca="1">INDIRECT(ADDRESS(ROW(K6),$C$3-2010+4,,,"1e_LightingAndAppliances"))</f>
        <v>1184.6149093553176</v>
      </c>
      <c r="J6" s="110">
        <f ca="1">INDIRECT(ADDRESS(ROW(K6),$C$3-2010+4,,,"1f_OtherEndUses"))</f>
        <v>0</v>
      </c>
      <c r="K6" s="111"/>
    </row>
    <row r="7" spans="1:11" ht="24" customHeight="1" x14ac:dyDescent="0.3">
      <c r="A7" s="178" t="s">
        <v>15</v>
      </c>
      <c r="B7" s="179"/>
      <c r="C7" s="101" t="s">
        <v>16</v>
      </c>
      <c r="D7" s="112">
        <f t="shared" ref="D7:D16" ca="1" si="0">SUM(E7:J7)</f>
        <v>1960.5920303431644</v>
      </c>
      <c r="E7" s="113">
        <f t="shared" ref="E7:E16" ca="1" si="1">INDIRECT(ADDRESS(ROW(K7),$C$3 -2010 + 4,,,"1a_SpaceHeating"))</f>
        <v>1960.5920303431644</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3">
      <c r="A8" s="178" t="s">
        <v>29</v>
      </c>
      <c r="B8" s="179"/>
      <c r="C8" s="101" t="s">
        <v>17</v>
      </c>
      <c r="D8" s="112">
        <f t="shared" ca="1" si="0"/>
        <v>12.44779239252523</v>
      </c>
      <c r="E8" s="113">
        <f t="shared" ca="1" si="1"/>
        <v>12.44779239252523</v>
      </c>
      <c r="F8" s="114"/>
      <c r="G8" s="113">
        <f t="shared" ca="1" si="2"/>
        <v>0</v>
      </c>
      <c r="H8" s="113">
        <f t="shared" ca="1" si="3"/>
        <v>0</v>
      </c>
      <c r="I8" s="114"/>
      <c r="J8" s="113">
        <f t="shared" ca="1" si="4"/>
        <v>0</v>
      </c>
      <c r="K8" s="114"/>
    </row>
    <row r="9" spans="1:11" ht="24" customHeight="1" x14ac:dyDescent="0.3">
      <c r="A9" s="178" t="s">
        <v>156</v>
      </c>
      <c r="B9" s="179"/>
      <c r="C9" s="101" t="s">
        <v>19</v>
      </c>
      <c r="D9" s="112">
        <f t="shared" ca="1" si="0"/>
        <v>4.4535435004368047</v>
      </c>
      <c r="E9" s="113">
        <f t="shared" ca="1" si="1"/>
        <v>4.4535435004368047</v>
      </c>
      <c r="F9" s="114"/>
      <c r="G9" s="113">
        <f t="shared" ca="1" si="2"/>
        <v>0</v>
      </c>
      <c r="H9" s="113">
        <f t="shared" ca="1" si="3"/>
        <v>0</v>
      </c>
      <c r="I9" s="114"/>
      <c r="J9" s="113">
        <f t="shared" ca="1" si="4"/>
        <v>0</v>
      </c>
      <c r="K9" s="115">
        <f ca="1">INDIRECT(ADDRESS(ROW(K9),$C$3-2010+4,,,"Calorific_Values"))</f>
        <v>10288</v>
      </c>
    </row>
    <row r="10" spans="1:11" ht="24" customHeight="1" x14ac:dyDescent="0.3">
      <c r="A10" s="178" t="s">
        <v>42</v>
      </c>
      <c r="B10" s="179"/>
      <c r="C10" s="101" t="s">
        <v>19</v>
      </c>
      <c r="D10" s="112">
        <f t="shared" ca="1" si="0"/>
        <v>14.066005403553509</v>
      </c>
      <c r="E10" s="113">
        <f t="shared" ca="1" si="1"/>
        <v>6.1920851712594951</v>
      </c>
      <c r="F10" s="114"/>
      <c r="G10" s="113">
        <f t="shared" ca="1" si="2"/>
        <v>0</v>
      </c>
      <c r="H10" s="113">
        <f t="shared" ca="1" si="3"/>
        <v>7.8739202322940143</v>
      </c>
      <c r="I10" s="114"/>
      <c r="J10" s="113">
        <f t="shared" ca="1" si="4"/>
        <v>0</v>
      </c>
      <c r="K10" s="115">
        <f ca="1">INDIRECT(ADDRESS(ROW(K10),$C$3-2010+4,,,"Calorific_Values"))</f>
        <v>45377</v>
      </c>
    </row>
    <row r="11" spans="1:11" s="33" customFormat="1" ht="15" customHeight="1" x14ac:dyDescent="0.3">
      <c r="A11" s="177" t="s">
        <v>18</v>
      </c>
      <c r="B11" s="10" t="s">
        <v>21</v>
      </c>
      <c r="C11" s="11" t="s">
        <v>19</v>
      </c>
      <c r="D11" s="116">
        <f t="shared" ca="1" si="0"/>
        <v>0</v>
      </c>
      <c r="E11" s="117">
        <f t="shared" ca="1" si="1"/>
        <v>0</v>
      </c>
      <c r="F11" s="118"/>
      <c r="G11" s="117">
        <f t="shared" ca="1" si="2"/>
        <v>0</v>
      </c>
      <c r="H11" s="117">
        <f t="shared" ca="1" si="3"/>
        <v>0</v>
      </c>
      <c r="I11" s="118"/>
      <c r="J11" s="117">
        <f t="shared" ca="1" si="4"/>
        <v>0</v>
      </c>
      <c r="K11" s="119">
        <f t="shared" ref="K11:K13" ca="1" si="5">INDIRECT(ADDRESS(ROW(K11),$C$3-2010+4,,,"Calorific_Values"))</f>
        <v>46799</v>
      </c>
    </row>
    <row r="12" spans="1:11" s="33" customFormat="1" ht="15" customHeight="1" x14ac:dyDescent="0.3">
      <c r="A12" s="177"/>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3">
      <c r="A13" s="177"/>
      <c r="B13" s="10" t="s">
        <v>23</v>
      </c>
      <c r="C13" s="11" t="s">
        <v>19</v>
      </c>
      <c r="D13" s="116">
        <f t="shared" ca="1" si="0"/>
        <v>0</v>
      </c>
      <c r="E13" s="117">
        <f t="shared" ca="1" si="1"/>
        <v>0</v>
      </c>
      <c r="F13" s="118"/>
      <c r="G13" s="117">
        <f t="shared" ca="1" si="2"/>
        <v>0</v>
      </c>
      <c r="H13" s="117">
        <f t="shared" ca="1" si="3"/>
        <v>0</v>
      </c>
      <c r="I13" s="118"/>
      <c r="J13" s="117">
        <f t="shared" ca="1" si="4"/>
        <v>0</v>
      </c>
      <c r="K13" s="119">
        <f t="shared" ca="1" si="5"/>
        <v>42948</v>
      </c>
    </row>
    <row r="14" spans="1:11" ht="24" customHeight="1" x14ac:dyDescent="0.3">
      <c r="A14" s="178" t="s">
        <v>43</v>
      </c>
      <c r="B14" s="179"/>
      <c r="C14" s="101" t="s">
        <v>16</v>
      </c>
      <c r="D14" s="112">
        <f t="shared" ca="1" si="0"/>
        <v>10417.482610272877</v>
      </c>
      <c r="E14" s="113">
        <f t="shared" ca="1" si="1"/>
        <v>10132.919317016664</v>
      </c>
      <c r="F14" s="114"/>
      <c r="G14" s="113">
        <f t="shared" ca="1" si="2"/>
        <v>8.3953444247364608</v>
      </c>
      <c r="H14" s="113">
        <f t="shared" ca="1" si="3"/>
        <v>276.16794883147702</v>
      </c>
      <c r="I14" s="114"/>
      <c r="J14" s="113">
        <f t="shared" ca="1" si="4"/>
        <v>0</v>
      </c>
      <c r="K14" s="114"/>
    </row>
    <row r="15" spans="1:11" s="33" customFormat="1" ht="15" customHeight="1" x14ac:dyDescent="0.3">
      <c r="A15" s="177"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3">
      <c r="A16" s="177"/>
      <c r="B16" s="10" t="s">
        <v>27</v>
      </c>
      <c r="C16" s="11" t="s">
        <v>16</v>
      </c>
      <c r="D16" s="116">
        <f t="shared" ca="1" si="0"/>
        <v>0</v>
      </c>
      <c r="E16" s="117">
        <f t="shared" ca="1" si="1"/>
        <v>0</v>
      </c>
      <c r="F16" s="118"/>
      <c r="G16" s="117">
        <f t="shared" ca="1" si="2"/>
        <v>0</v>
      </c>
      <c r="H16" s="117">
        <f t="shared" ca="1" si="3"/>
        <v>0</v>
      </c>
      <c r="I16" s="118"/>
      <c r="J16" s="117">
        <f t="shared" ca="1" si="4"/>
        <v>0</v>
      </c>
      <c r="K16" s="118"/>
    </row>
    <row r="17" spans="1:11" s="33" customFormat="1" ht="15" customHeight="1" x14ac:dyDescent="0.3">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3">
      <c r="A18" s="177"/>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3">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30480</xdr:colOff>
                    <xdr:row>18</xdr:row>
                    <xdr:rowOff>38100</xdr:rowOff>
                  </from>
                  <to>
                    <xdr:col>1</xdr:col>
                    <xdr:colOff>1028700</xdr:colOff>
                    <xdr:row>21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1" sqref="D11"/>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North Macedonia</v>
      </c>
      <c r="D2" s="1"/>
      <c r="E2" s="5"/>
      <c r="F2" s="3"/>
      <c r="G2" s="3"/>
      <c r="H2" s="3"/>
      <c r="I2" s="3"/>
      <c r="J2" s="3"/>
      <c r="K2" s="3"/>
    </row>
    <row r="3" spans="1:11" ht="18" customHeight="1" x14ac:dyDescent="0.3">
      <c r="A3" s="171" t="s">
        <v>2</v>
      </c>
      <c r="B3" s="172"/>
      <c r="C3" s="1">
        <f>Table1_Totals!C3</f>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16</v>
      </c>
      <c r="D6" s="109">
        <f ca="1">SUM(E6:J6)</f>
        <v>14931.444577667</v>
      </c>
      <c r="E6" s="110">
        <f ca="1">Table1_Totals!E6*3.6</f>
        <v>4495.9008284699312</v>
      </c>
      <c r="F6" s="110">
        <f ca="1">Table1_Totals!F6*3.6</f>
        <v>576.48313258800192</v>
      </c>
      <c r="G6" s="110">
        <f ca="1">Table1_Totals!G6*3.6</f>
        <v>3487.7040302706519</v>
      </c>
      <c r="H6" s="110">
        <f ca="1">Table1_Totals!H6*3.6</f>
        <v>2106.7429126592692</v>
      </c>
      <c r="I6" s="110">
        <f ca="1">Table1_Totals!I6*3.6</f>
        <v>4264.6136736791441</v>
      </c>
      <c r="J6" s="110">
        <f ca="1">Table1_Totals!J6*3.6</f>
        <v>0</v>
      </c>
      <c r="K6" s="111"/>
    </row>
    <row r="7" spans="1:11" ht="24" customHeight="1" x14ac:dyDescent="0.3">
      <c r="A7" s="178" t="s">
        <v>15</v>
      </c>
      <c r="B7" s="179"/>
      <c r="C7" s="101" t="s">
        <v>16</v>
      </c>
      <c r="D7" s="112">
        <f t="shared" ref="D7:D18" ca="1" si="0">SUM(E7:J7)</f>
        <v>1960.5920303431644</v>
      </c>
      <c r="E7" s="113">
        <f ca="1">Table1_Totals!E7</f>
        <v>1960.5920303431644</v>
      </c>
      <c r="F7" s="114"/>
      <c r="G7" s="113">
        <f ca="1">Table1_Totals!G7</f>
        <v>0</v>
      </c>
      <c r="H7" s="113">
        <f ca="1">Table1_Totals!H7</f>
        <v>0</v>
      </c>
      <c r="I7" s="114"/>
      <c r="J7" s="113">
        <f ca="1">Table1_Totals!J7</f>
        <v>0</v>
      </c>
      <c r="K7" s="114"/>
    </row>
    <row r="8" spans="1:11" ht="24" customHeight="1" x14ac:dyDescent="0.3">
      <c r="A8" s="178" t="s">
        <v>29</v>
      </c>
      <c r="B8" s="179"/>
      <c r="C8" s="101" t="s">
        <v>16</v>
      </c>
      <c r="D8" s="112">
        <f t="shared" ca="1" si="0"/>
        <v>11.203013153272707</v>
      </c>
      <c r="E8" s="113">
        <f ca="1">Table1_Totals!E8*0.9</f>
        <v>11.203013153272707</v>
      </c>
      <c r="F8" s="114"/>
      <c r="G8" s="113">
        <f ca="1">Table1_Totals!G8*0.9</f>
        <v>0</v>
      </c>
      <c r="H8" s="113">
        <f ca="1">Table1_Totals!H8*0.9</f>
        <v>0</v>
      </c>
      <c r="I8" s="114"/>
      <c r="J8" s="113">
        <f ca="1">Table1_Totals!J8*0.9</f>
        <v>0</v>
      </c>
      <c r="K8" s="114"/>
    </row>
    <row r="9" spans="1:11" ht="24" customHeight="1" x14ac:dyDescent="0.3">
      <c r="A9" s="178" t="s">
        <v>156</v>
      </c>
      <c r="B9" s="179"/>
      <c r="C9" s="101" t="s">
        <v>16</v>
      </c>
      <c r="D9" s="112">
        <f t="shared" ca="1" si="0"/>
        <v>45.818055532493844</v>
      </c>
      <c r="E9" s="113">
        <f ca="1">IF(Table1_Totals!E9&lt;&gt;0,IF(Table1_Totals!$K9&lt;&gt;0,Table1_Totals!E9*Table1_Totals!$K9/1000,"Please check CV"),"0,000")</f>
        <v>45.818055532493844</v>
      </c>
      <c r="F9" s="114"/>
      <c r="G9" s="113" t="str">
        <f ca="1">IF(Table1_Totals!G9&lt;&gt;0,IF(Table1_Totals!$K9&lt;&gt;0,Table1_Totals!G9*Table1_Totals!$K$9/1000,"Please check CV"),"0,000")</f>
        <v>0,000</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10288</v>
      </c>
    </row>
    <row r="10" spans="1:11" ht="24" customHeight="1" x14ac:dyDescent="0.3">
      <c r="A10" s="178" t="s">
        <v>42</v>
      </c>
      <c r="B10" s="179"/>
      <c r="C10" s="101" t="s">
        <v>16</v>
      </c>
      <c r="D10" s="112">
        <f t="shared" ca="1" si="0"/>
        <v>638.27312719704764</v>
      </c>
      <c r="E10" s="113">
        <f ca="1">IF(Table1_Totals!E10&lt;&gt;0,IF(Table1_Totals!$K10&lt;&gt;0,Table1_Totals!E10*Table1_Totals!$K10/1000,"Please check CV"),"0,000")</f>
        <v>280.97824881624211</v>
      </c>
      <c r="F10" s="114"/>
      <c r="G10" s="113" t="str">
        <f ca="1">IF(Table1_Totals!G10&lt;&gt;0,IF(Table1_Totals!$K10&lt;&gt;0,Table1_Totals!G10*Table1_Totals!$K10/1000,"Please check CV"),"0,000")</f>
        <v>0,000</v>
      </c>
      <c r="H10" s="113">
        <f ca="1">IF(Table1_Totals!H10&lt;&gt;0,IF(Table1_Totals!$K10&lt;&gt;0,Table1_Totals!H10*Table1_Totals!$K10/1000,"Please check CV"),"0,000")</f>
        <v>357.29487838080547</v>
      </c>
      <c r="I10" s="114"/>
      <c r="J10" s="113" t="str">
        <f ca="1">IF(Table1_Totals!J10&lt;&gt;0,IF(Table1_Totals!$K10&lt;&gt;0,Table1_Totals!J10*Table1_Totals!$K10/1000,"Please check CV"),"0,000")</f>
        <v>0,000</v>
      </c>
      <c r="K10" s="115">
        <f ca="1">Table1_Totals!K10</f>
        <v>45377</v>
      </c>
    </row>
    <row r="11" spans="1:11" s="33" customFormat="1" ht="15" customHeight="1" x14ac:dyDescent="0.3">
      <c r="A11" s="177" t="s">
        <v>18</v>
      </c>
      <c r="B11" s="10" t="s">
        <v>21</v>
      </c>
      <c r="C11" s="11" t="s">
        <v>16</v>
      </c>
      <c r="D11" s="116">
        <f t="shared" ca="1" si="0"/>
        <v>0</v>
      </c>
      <c r="E11" s="117" t="str">
        <f ca="1">IF(Table1_Totals!E11&lt;&gt;0,IF(Table1_Totals!$K11&lt;&gt;0,Table1_Totals!E11*Table1_Totals!$K11/1000,"Please check CV"),"0,000")</f>
        <v>0,000</v>
      </c>
      <c r="F11" s="118"/>
      <c r="G11" s="117" t="str">
        <f ca="1">IF(Table1_Totals!G11&lt;&gt;0,IF(Table1_Totals!$K11&lt;&gt;0,Table1_Totals!G11*Table1_Totals!$K11/1000,"Please check CV"),"0,000")</f>
        <v>0,000</v>
      </c>
      <c r="H11" s="117" t="str">
        <f ca="1">IF(Table1_Totals!H11&lt;&gt;0,IF(Table1_Totals!$K11&lt;&gt;0,Table1_Totals!H11*Table1_Totals!$K11/1000,"Please check CV"),"0,000")</f>
        <v>0,000</v>
      </c>
      <c r="I11" s="118"/>
      <c r="J11" s="117" t="str">
        <f ca="1">IF(Table1_Totals!J11&lt;&gt;0,IF(Table1_Totals!$K11&lt;&gt;0,Table1_Totals!J11*Table1_Totals!$K11/1000,"Please check CV"),"0,000")</f>
        <v>0,000</v>
      </c>
      <c r="K11" s="119">
        <f ca="1">Table1_Totals!K11</f>
        <v>46799</v>
      </c>
    </row>
    <row r="12" spans="1:11" s="33" customFormat="1" ht="15" customHeight="1" x14ac:dyDescent="0.3">
      <c r="A12" s="177"/>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3">
      <c r="A13" s="177"/>
      <c r="B13" s="10" t="s">
        <v>23</v>
      </c>
      <c r="C13" s="11" t="s">
        <v>16</v>
      </c>
      <c r="D13" s="116">
        <f t="shared" ca="1" si="0"/>
        <v>0</v>
      </c>
      <c r="E13" s="117" t="str">
        <f ca="1">IF(Table1_Totals!E13&lt;&gt;0,IF(Table1_Totals!$K13&lt;&gt;0,Table1_Totals!E13*Table1_Totals!$K13/1000,"Please check CV"),"0,000")</f>
        <v>0,000</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42948</v>
      </c>
    </row>
    <row r="14" spans="1:11" ht="24" customHeight="1" x14ac:dyDescent="0.3">
      <c r="A14" s="178" t="s">
        <v>43</v>
      </c>
      <c r="B14" s="179"/>
      <c r="C14" s="101" t="s">
        <v>16</v>
      </c>
      <c r="D14" s="112">
        <f t="shared" ca="1" si="0"/>
        <v>10417.482610272877</v>
      </c>
      <c r="E14" s="113">
        <f ca="1">Table1_Totals!E14</f>
        <v>10132.919317016664</v>
      </c>
      <c r="F14" s="114"/>
      <c r="G14" s="113">
        <f ca="1">Table1_Totals!G14</f>
        <v>8.3953444247364608</v>
      </c>
      <c r="H14" s="113">
        <f ca="1">Table1_Totals!H14</f>
        <v>276.16794883147702</v>
      </c>
      <c r="I14" s="114"/>
      <c r="J14" s="113">
        <f ca="1">Table1_Totals!J14</f>
        <v>0</v>
      </c>
      <c r="K14" s="114"/>
    </row>
    <row r="15" spans="1:11" s="33" customFormat="1" ht="15" customHeight="1" x14ac:dyDescent="0.3">
      <c r="A15" s="177"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3">
      <c r="A16" s="177"/>
      <c r="B16" s="10" t="s">
        <v>27</v>
      </c>
      <c r="C16" s="11" t="s">
        <v>16</v>
      </c>
      <c r="D16" s="116">
        <f t="shared" ca="1" si="0"/>
        <v>0</v>
      </c>
      <c r="E16" s="117">
        <f ca="1">Table1_Totals!E16</f>
        <v>0</v>
      </c>
      <c r="F16" s="118"/>
      <c r="G16" s="117">
        <f ca="1">Table1_Totals!G16</f>
        <v>0</v>
      </c>
      <c r="H16" s="117">
        <f ca="1">Table1_Totals!H16</f>
        <v>0</v>
      </c>
      <c r="I16" s="118"/>
      <c r="J16" s="117">
        <f ca="1">Table1_Totals!J16</f>
        <v>0</v>
      </c>
      <c r="K16" s="118"/>
    </row>
    <row r="17" spans="1:11" s="33" customFormat="1" ht="15" customHeight="1" x14ac:dyDescent="0.3">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3">
      <c r="A18" s="177"/>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3">
      <c r="A19" s="178" t="s">
        <v>171</v>
      </c>
      <c r="B19" s="179"/>
      <c r="C19" s="101" t="s">
        <v>16</v>
      </c>
      <c r="D19" s="112">
        <f t="shared" ref="D19" ca="1" si="2">SUM(E19:J19)</f>
        <v>28004.813414165856</v>
      </c>
      <c r="E19" s="113">
        <f ca="1">SUM(E6:E10,E14)</f>
        <v>16927.411493331769</v>
      </c>
      <c r="F19" s="113">
        <f t="shared" ref="F19:J19" ca="1" si="3">SUM(F6:F10,F14)</f>
        <v>576.48313258800192</v>
      </c>
      <c r="G19" s="113">
        <f t="shared" ca="1" si="3"/>
        <v>3496.0993746953882</v>
      </c>
      <c r="H19" s="113">
        <f t="shared" ca="1" si="3"/>
        <v>2740.2057398715519</v>
      </c>
      <c r="I19" s="113">
        <f t="shared" ca="1" si="3"/>
        <v>4264.6136736791441</v>
      </c>
      <c r="J19" s="113">
        <f t="shared" ca="1" si="3"/>
        <v>0</v>
      </c>
      <c r="K19" s="114"/>
    </row>
    <row r="20" spans="1:11" ht="21" customHeight="1" x14ac:dyDescent="0.3">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3">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30480</xdr:colOff>
                    <xdr:row>19</xdr:row>
                    <xdr:rowOff>38100</xdr:rowOff>
                  </from>
                  <to>
                    <xdr:col>1</xdr:col>
                    <xdr:colOff>1028700</xdr:colOff>
                    <xdr:row>22</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L9" sqref="L9"/>
      <selection pane="topRight" activeCell="F8" sqref="F8"/>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'1a_SpaceHeating (2)'!D6/[4]Data!AZ$35*[4]Data!AZ$36</f>
        <v>1311.8038547840381</v>
      </c>
      <c r="E6" s="56">
        <f>'1a_SpaceHeating (2)'!E6/[4]Data!BA$35*[4]Data!BA$36</f>
        <v>1575.2979689240767</v>
      </c>
      <c r="F6" s="56">
        <f>'1a_SpaceHeating (2)'!F6/[4]Data!BB$35*[4]Data!BB$36</f>
        <v>1580.1835375770588</v>
      </c>
      <c r="G6" s="56">
        <f>'1a_SpaceHeating (2)'!G6/[4]Data!BC$35*[4]Data!BC$36</f>
        <v>1275.4271839999535</v>
      </c>
      <c r="H6" s="56">
        <f>'1a_SpaceHeating (2)'!H6/[4]Data!BD$35*[4]Data!BD$36</f>
        <v>1364.449729374388</v>
      </c>
      <c r="I6" s="56">
        <f>'1a_SpaceHeating (2)'!I6/[4]Data!BE$35*[4]Data!BE$36</f>
        <v>1259.3116396297651</v>
      </c>
      <c r="J6" s="56">
        <f>'1a_SpaceHeating (2)'!J6/[4]Data!BF$35*[4]Data!BF$36</f>
        <v>1215.4721848057093</v>
      </c>
      <c r="K6" s="56">
        <f>'1a_SpaceHeating (2)'!K6/[4]Data!BG$35*[4]Data!BG$36</f>
        <v>1367.5379031408168</v>
      </c>
      <c r="L6" s="56">
        <f>'1a_SpaceHeating (2)'!L6/[4]Data!BH$35*[4]Data!BH$36</f>
        <v>1248.8613412416476</v>
      </c>
      <c r="M6" s="56"/>
      <c r="N6" s="56"/>
      <c r="O6" s="56"/>
      <c r="DS6" s="4" t="str">
        <f>VLOOKUP(Cover!$D$15, Country_list!$B$3:$C$44, 2, 0)</f>
        <v>MK</v>
      </c>
      <c r="DT6" s="32" t="s">
        <v>289</v>
      </c>
      <c r="DV6" s="32" t="s">
        <v>302</v>
      </c>
      <c r="EB6" s="32" t="s">
        <v>291</v>
      </c>
      <c r="ED6" s="32" t="s">
        <v>294</v>
      </c>
    </row>
    <row r="7" spans="1:134" ht="24" customHeight="1" x14ac:dyDescent="0.3">
      <c r="A7" s="157" t="s">
        <v>15</v>
      </c>
      <c r="B7" s="181"/>
      <c r="C7" s="9" t="s">
        <v>25</v>
      </c>
      <c r="D7" s="57">
        <f>'1a_SpaceHeating (2)'!D7/[4]Data!AZ$35*[4]Data!AZ$36</f>
        <v>2024.0112587091676</v>
      </c>
      <c r="E7" s="54">
        <f>'1a_SpaceHeating (2)'!E7/[4]Data!BA$35*[4]Data!BA$36</f>
        <v>2203.3256152772292</v>
      </c>
      <c r="F7" s="54">
        <f>'1a_SpaceHeating (2)'!F7/[4]Data!BB$35*[4]Data!BB$36</f>
        <v>2016.6648447369009</v>
      </c>
      <c r="G7" s="54">
        <f>'1a_SpaceHeating (2)'!G7/[4]Data!BC$35*[4]Data!BC$36</f>
        <v>1662.6781831300484</v>
      </c>
      <c r="H7" s="54">
        <f>'1a_SpaceHeating (2)'!H7/[4]Data!BD$35*[4]Data!BD$36</f>
        <v>1598.2753884872898</v>
      </c>
      <c r="I7" s="54">
        <f>'1a_SpaceHeating (2)'!I7/[4]Data!BE$35*[4]Data!BE$36</f>
        <v>1976.9978409798703</v>
      </c>
      <c r="J7" s="54">
        <f>'1a_SpaceHeating (2)'!J7/[4]Data!BF$35*[4]Data!BF$36</f>
        <v>1899.9128325603806</v>
      </c>
      <c r="K7" s="54">
        <f>'1a_SpaceHeating (2)'!K7/[4]Data!BG$35*[4]Data!BG$36</f>
        <v>2037.2645070656247</v>
      </c>
      <c r="L7" s="54">
        <f>'1a_SpaceHeating (2)'!L7/[4]Data!BH$35*[4]Data!BH$36</f>
        <v>1960.5920303431644</v>
      </c>
      <c r="M7" s="54"/>
      <c r="N7" s="54"/>
      <c r="O7" s="54"/>
      <c r="DT7" s="32" t="s">
        <v>290</v>
      </c>
      <c r="EB7" s="32" t="s">
        <v>291</v>
      </c>
      <c r="ED7" s="32" t="s">
        <v>295</v>
      </c>
    </row>
    <row r="8" spans="1:134" ht="24" customHeight="1" x14ac:dyDescent="0.3">
      <c r="A8" s="157" t="s">
        <v>29</v>
      </c>
      <c r="B8" s="181"/>
      <c r="C8" s="9" t="s">
        <v>17</v>
      </c>
      <c r="D8" s="57"/>
      <c r="E8" s="54"/>
      <c r="F8" s="54"/>
      <c r="G8" s="54">
        <f>'1a_SpaceHeating (2)'!G8/[4]Data!BC$35*[4]Data!BC$36</f>
        <v>0.58804260934667896</v>
      </c>
      <c r="H8" s="54">
        <f>'1a_SpaceHeating (2)'!H8/[4]Data!BD$35*[4]Data!BD$36</f>
        <v>2.6248680427482451</v>
      </c>
      <c r="I8" s="54">
        <f>'1a_SpaceHeating (2)'!I8/[4]Data!BE$35*[4]Data!BE$36</f>
        <v>11.996884353741496</v>
      </c>
      <c r="J8" s="54">
        <f>'1a_SpaceHeating (2)'!J8/[4]Data!BF$35*[4]Data!BF$36</f>
        <v>5.9419999439959295</v>
      </c>
      <c r="K8" s="54">
        <f>'1a_SpaceHeating (2)'!K8/[4]Data!BG$35*[4]Data!BG$36</f>
        <v>9.7102365720821986</v>
      </c>
      <c r="L8" s="54">
        <f>'1a_SpaceHeating (2)'!L8/[4]Data!BH$35*[4]Data!BH$36</f>
        <v>12.44779239252523</v>
      </c>
      <c r="M8" s="54"/>
      <c r="N8" s="54"/>
      <c r="O8" s="54"/>
      <c r="DT8" s="32" t="s">
        <v>231</v>
      </c>
      <c r="EB8" s="32" t="s">
        <v>291</v>
      </c>
      <c r="ED8" s="32" t="s">
        <v>296</v>
      </c>
    </row>
    <row r="9" spans="1:134" ht="24" customHeight="1" x14ac:dyDescent="0.3">
      <c r="A9" s="157" t="s">
        <v>156</v>
      </c>
      <c r="B9" s="181"/>
      <c r="C9" s="9" t="s">
        <v>19</v>
      </c>
      <c r="D9" s="57">
        <f>'1a_SpaceHeating (2)'!D9/[4]Data!AZ$35*[4]Data!AZ$36</f>
        <v>12.681528919161972</v>
      </c>
      <c r="E9" s="54">
        <f>'1a_SpaceHeating (2)'!E9/[4]Data!BA$35*[4]Data!BA$36</f>
        <v>9.0826590529066475</v>
      </c>
      <c r="F9" s="54">
        <f>'1a_SpaceHeating (2)'!F9/[4]Data!BB$35*[4]Data!BB$36</f>
        <v>9.4173977863805796</v>
      </c>
      <c r="G9" s="54">
        <f>'1a_SpaceHeating (2)'!G9/[4]Data!BC$35*[4]Data!BC$36</f>
        <v>9.1051758866582553</v>
      </c>
      <c r="H9" s="54">
        <f>'1a_SpaceHeating (2)'!H9/[4]Data!BD$35*[4]Data!BD$36</f>
        <v>6.247485574621364</v>
      </c>
      <c r="I9" s="54">
        <f>'1a_SpaceHeating (2)'!I9/[4]Data!BE$35*[4]Data!BE$36</f>
        <v>4.4908123249299718</v>
      </c>
      <c r="J9" s="54">
        <f>'1a_SpaceHeating (2)'!J9/[4]Data!BF$35*[4]Data!BF$36</f>
        <v>5.7184807872241192</v>
      </c>
      <c r="K9" s="54">
        <f>'1a_SpaceHeating (2)'!K9/[4]Data!BG$35*[4]Data!BG$36</f>
        <v>5.7415241674068893</v>
      </c>
      <c r="L9" s="54">
        <f>'1a_SpaceHeating (2)'!L9/[4]Data!BH$35*[4]Data!BH$36</f>
        <v>4.4535435004368047</v>
      </c>
      <c r="M9" s="54"/>
      <c r="N9" s="54"/>
      <c r="O9" s="54"/>
      <c r="DT9" s="32" t="s">
        <v>279</v>
      </c>
      <c r="EB9" s="32" t="s">
        <v>292</v>
      </c>
      <c r="ED9" s="32" t="s">
        <v>293</v>
      </c>
    </row>
    <row r="10" spans="1:134" ht="24" customHeight="1" x14ac:dyDescent="0.3">
      <c r="A10" s="157" t="s">
        <v>20</v>
      </c>
      <c r="B10" s="181"/>
      <c r="C10" s="9" t="s">
        <v>19</v>
      </c>
      <c r="D10" s="57">
        <f>'1a_SpaceHeating (2)'!D10/[4]Data!AZ$35*[4]Data!AZ$36</f>
        <v>1.4446051554959709</v>
      </c>
      <c r="E10" s="54">
        <f>'1a_SpaceHeating (2)'!E10/[4]Data!BA$35*[4]Data!BA$36</f>
        <v>1.4951693290765886</v>
      </c>
      <c r="F10" s="54">
        <f>'1a_SpaceHeating (2)'!F10/[4]Data!BB$35*[4]Data!BB$36</f>
        <v>26.666654222703823</v>
      </c>
      <c r="G10" s="54">
        <f>'1a_SpaceHeating (2)'!G10/[4]Data!BC$35*[4]Data!BC$36</f>
        <v>8.3745136241486424</v>
      </c>
      <c r="H10" s="54">
        <f>'1a_SpaceHeating (2)'!H10/[4]Data!BD$35*[4]Data!BD$36</f>
        <v>6.5807221426984333</v>
      </c>
      <c r="I10" s="54">
        <f>'1a_SpaceHeating (2)'!I10/[4]Data!BE$35*[4]Data!BE$36</f>
        <v>6.7278505141186908</v>
      </c>
      <c r="J10" s="54">
        <f>'1a_SpaceHeating (2)'!J10/[4]Data!BF$35*[4]Data!BF$36</f>
        <v>6.2876910622330753</v>
      </c>
      <c r="K10" s="54">
        <f>'1a_SpaceHeating (2)'!K10/[4]Data!BG$35*[4]Data!BG$36</f>
        <v>6.7583246541692104</v>
      </c>
      <c r="L10" s="54">
        <f>'1a_SpaceHeating (2)'!L10/[4]Data!BH$35*[4]Data!BH$36</f>
        <v>6.1920851712594951</v>
      </c>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f>'1a_SpaceHeating (2)'!D14/[4]Data!AZ$35*[4]Data!AZ$36</f>
        <v>10379.374293801109</v>
      </c>
      <c r="E14" s="54">
        <f>'1a_SpaceHeating (2)'!E14/[4]Data!BA$35*[4]Data!BA$36</f>
        <v>11218.080238824587</v>
      </c>
      <c r="F14" s="54">
        <f>'1a_SpaceHeating (2)'!F14/[4]Data!BB$35*[4]Data!BB$36</f>
        <v>12234.273663016787</v>
      </c>
      <c r="G14" s="54">
        <f>'1a_SpaceHeating (2)'!G14/[4]Data!BC$35*[4]Data!BC$36</f>
        <v>12140.715066493914</v>
      </c>
      <c r="H14" s="54">
        <f>'1a_SpaceHeating (2)'!H14/[4]Data!BD$35*[4]Data!BD$36</f>
        <v>12751.08725442196</v>
      </c>
      <c r="I14" s="54">
        <f>'1a_SpaceHeating (2)'!I14/[4]Data!BE$35*[4]Data!BE$36</f>
        <v>10504.659940602329</v>
      </c>
      <c r="J14" s="54">
        <f>'1a_SpaceHeating (2)'!J14/[4]Data!BF$35*[4]Data!BF$36</f>
        <v>10431.403032523882</v>
      </c>
      <c r="K14" s="54">
        <f>'1a_SpaceHeating (2)'!K14/[4]Data!BG$35*[4]Data!BG$36</f>
        <v>10448.249230976775</v>
      </c>
      <c r="L14" s="54">
        <f>'1a_SpaceHeating (2)'!L14/[4]Data!BH$35*[4]Data!BH$36</f>
        <v>10132.919317016664</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22860</xdr:colOff>
                    <xdr:row>18</xdr:row>
                    <xdr:rowOff>30480</xdr:rowOff>
                  </from>
                  <to>
                    <xdr:col>1</xdr:col>
                    <xdr:colOff>1028700</xdr:colOff>
                    <xdr:row>21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L9" sqref="L9"/>
      <selection pane="topRight" activeCell="G6" sqref="G6"/>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f>'1b_SpaceCooling (2)'!D6/[4]Data!AZ$35*[4]Data!AZ$36</f>
        <v>181.42875771780103</v>
      </c>
      <c r="E6" s="56">
        <f>'1b_SpaceCooling (2)'!E6/[4]Data!BA$35*[4]Data!BA$36</f>
        <v>174.10667423651768</v>
      </c>
      <c r="F6" s="56">
        <f>'1b_SpaceCooling (2)'!F6/[4]Data!BB$35*[4]Data!BB$36</f>
        <v>166.72824874720482</v>
      </c>
      <c r="G6" s="56">
        <f>'1b_SpaceCooling (2)'!G6/[4]Data!BC$35*[4]Data!BC$36</f>
        <v>167.49027248297284</v>
      </c>
      <c r="H6" s="56">
        <f>'1b_SpaceCooling (2)'!H6/[4]Data!BD$35*[4]Data!BD$36</f>
        <v>160.17757726057465</v>
      </c>
      <c r="I6" s="56">
        <f>'1b_SpaceCooling (2)'!I6/[4]Data!BE$35*[4]Data!BE$36</f>
        <v>165.68587087008717</v>
      </c>
      <c r="J6" s="56">
        <f>'1b_SpaceCooling (2)'!J6/[4]Data!BF$35*[4]Data!BF$36</f>
        <v>167.29228814287603</v>
      </c>
      <c r="K6" s="56">
        <f>'1b_SpaceCooling (2)'!K6/[4]Data!BG$35*[4]Data!BG$36</f>
        <v>161.75053760670369</v>
      </c>
      <c r="L6" s="56">
        <f>'1b_SpaceCooling (2)'!L6/[4]Data!BH$35*[4]Data!BH$36</f>
        <v>160.1342034966672</v>
      </c>
      <c r="M6" s="56"/>
      <c r="N6" s="56"/>
      <c r="O6" s="56"/>
      <c r="DS6" s="4" t="str">
        <f>VLOOKUP(Cover!$D$15, Country_list!$B$3:$C$44, 2, 0)</f>
        <v>MK</v>
      </c>
      <c r="DT6" s="32" t="s">
        <v>289</v>
      </c>
      <c r="DV6" s="32" t="s">
        <v>303</v>
      </c>
      <c r="EB6" s="32" t="s">
        <v>291</v>
      </c>
      <c r="ED6" s="32" t="s">
        <v>294</v>
      </c>
    </row>
    <row r="7" spans="1:134" ht="24" customHeight="1" x14ac:dyDescent="0.3">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3">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3">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3">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L9" sqref="L9"/>
      <selection pane="topRight" activeCell="D14" sqref="D14:L14"/>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8</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'1c_WaterHeating (2)'!D6/[4]Data!AZ$35*[4]Data!AZ$36</f>
        <v>1097.9567923956581</v>
      </c>
      <c r="E6" s="56">
        <f>'1c_WaterHeating (2)'!E6/[4]Data!BA$35*[4]Data!BA$36</f>
        <v>1053.5432276243826</v>
      </c>
      <c r="F6" s="56">
        <f>'1c_WaterHeating (2)'!F6/[4]Data!BB$35*[4]Data!BB$36</f>
        <v>1008.6847643987701</v>
      </c>
      <c r="G6" s="56">
        <f>'1c_WaterHeating (2)'!G6/[4]Data!BC$35*[4]Data!BC$36</f>
        <v>1013.0913293642903</v>
      </c>
      <c r="H6" s="56">
        <f>'1c_WaterHeating (2)'!H6/[4]Data!BD$35*[4]Data!BD$36</f>
        <v>969.32637008300537</v>
      </c>
      <c r="I6" s="56">
        <f>'1c_WaterHeating (2)'!I6/[4]Data!BE$35*[4]Data!BE$36</f>
        <v>1002.6226647180611</v>
      </c>
      <c r="J6" s="56">
        <f>'1c_WaterHeating (2)'!J6/[4]Data!BF$35*[4]Data!BF$36</f>
        <v>1012.3612988695868</v>
      </c>
      <c r="K6" s="56">
        <f>'1c_WaterHeating (2)'!K6/[4]Data!BG$35*[4]Data!BG$36</f>
        <v>978.58544338802074</v>
      </c>
      <c r="L6" s="56">
        <f>'1c_WaterHeating (2)'!L6/[4]Data!BH$35*[4]Data!BH$36</f>
        <v>968.80667507518103</v>
      </c>
      <c r="M6" s="56"/>
      <c r="N6" s="56"/>
      <c r="O6" s="56"/>
      <c r="DS6" s="4" t="str">
        <f>VLOOKUP(Cover!$D$15, Country_list!$B$3:$C$44, 2, 0)</f>
        <v>MK</v>
      </c>
      <c r="DT6" s="32" t="s">
        <v>289</v>
      </c>
      <c r="DV6" s="32" t="s">
        <v>304</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f>'1c_WaterHeating (2)'!D14/[4]Data!AZ$35*[4]Data!AZ$36</f>
        <v>11.908039544565703</v>
      </c>
      <c r="E14" s="54">
        <f>'1c_WaterHeating (2)'!E14/[4]Data!BA$35*[4]Data!BA$36</f>
        <v>11.192571915204708</v>
      </c>
      <c r="F14" s="54">
        <f>'1c_WaterHeating (2)'!F14/[4]Data!BB$35*[4]Data!BB$36</f>
        <v>11.914798097285459</v>
      </c>
      <c r="G14" s="54">
        <f>'1c_WaterHeating (2)'!G14/[4]Data!BC$35*[4]Data!BC$36</f>
        <v>11.65406308702833</v>
      </c>
      <c r="H14" s="54">
        <f>'1c_WaterHeating (2)'!H14/[4]Data!BD$35*[4]Data!BD$36</f>
        <v>11.726286796829655</v>
      </c>
      <c r="I14" s="54">
        <f>'1c_WaterHeating (2)'!I14/[4]Data!BE$35*[4]Data!BE$36</f>
        <v>11.372075682446892</v>
      </c>
      <c r="J14" s="54">
        <f>'1c_WaterHeating (2)'!J14/[4]Data!BF$35*[4]Data!BF$36</f>
        <v>9.4294541167337265</v>
      </c>
      <c r="K14" s="54">
        <f>'1c_WaterHeating (2)'!K14/[4]Data!BG$35*[4]Data!BG$36</f>
        <v>10.216556050483629</v>
      </c>
      <c r="L14" s="54">
        <f>'1c_WaterHeating (2)'!L14/[4]Data!BH$35*[4]Data!BH$36</f>
        <v>8.3953444247364608</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topLeftCell="A6" zoomScale="90" zoomScaleNormal="90" workbookViewId="0">
      <pane xSplit="3" topLeftCell="D1" activePane="topRight" state="frozen"/>
      <selection activeCell="L9" sqref="L9"/>
      <selection pane="topRight" activeCell="D14" sqref="D14:L14"/>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9</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'1d_Cooking (2)'!D6/[4]Data!AZ$35*[4]Data!AZ$36</f>
        <v>663.15339027885898</v>
      </c>
      <c r="E6" s="56">
        <f>'1d_Cooking (2)'!E6/[4]Data!BA$35*[4]Data!BA$36</f>
        <v>636.36554714857073</v>
      </c>
      <c r="F6" s="56">
        <f>'1d_Cooking (2)'!F6/[4]Data!BB$35*[4]Data!BB$36</f>
        <v>609.26983882854302</v>
      </c>
      <c r="G6" s="56">
        <f>'1d_Cooking (2)'!G6/[4]Data!BC$35*[4]Data!BC$36</f>
        <v>611.92964485180096</v>
      </c>
      <c r="H6" s="56">
        <f>'1d_Cooking (2)'!H6/[4]Data!BD$35*[4]Data!BD$36</f>
        <v>585.54425533542235</v>
      </c>
      <c r="I6" s="56">
        <f>'1d_Cooking (2)'!I6/[4]Data!BE$35*[4]Data!BE$36</f>
        <v>605.56233275919055</v>
      </c>
      <c r="J6" s="56">
        <f>'1d_Cooking (2)'!J6/[4]Data!BF$35*[4]Data!BF$36</f>
        <v>611.55396619864644</v>
      </c>
      <c r="K6" s="56">
        <f>'1d_Cooking (2)'!K6/[4]Data!BG$35*[4]Data!BG$36</f>
        <v>591.075971909175</v>
      </c>
      <c r="L6" s="56">
        <f>'1d_Cooking (2)'!L6/[4]Data!BH$35*[4]Data!BH$36</f>
        <v>585.20636462757477</v>
      </c>
      <c r="M6" s="56"/>
      <c r="N6" s="56"/>
      <c r="O6" s="56"/>
      <c r="DS6" s="4" t="str">
        <f>VLOOKUP(Cover!$D$15, Country_list!$B$3:$C$44, 2, 0)</f>
        <v>MK</v>
      </c>
      <c r="DT6" s="32" t="s">
        <v>289</v>
      </c>
      <c r="DV6" s="32" t="s">
        <v>305</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f>'1d_Cooking (2)'!D10/[4]Data!AZ$35*[4]Data!AZ$36</f>
        <v>11.468686204951279</v>
      </c>
      <c r="E10" s="54">
        <f>'1d_Cooking (2)'!E10/[4]Data!BA$35*[4]Data!BA$36</f>
        <v>11.880802031707825</v>
      </c>
      <c r="F10" s="54">
        <f>'1d_Cooking (2)'!F10/[4]Data!BB$35*[4]Data!BB$36</f>
        <v>11.032533653365338</v>
      </c>
      <c r="G10" s="54">
        <f>'1d_Cooking (2)'!G10/[4]Data!BC$35*[4]Data!BC$36</f>
        <v>8.4813027240538936</v>
      </c>
      <c r="H10" s="54">
        <f>'1d_Cooking (2)'!H10/[4]Data!BD$35*[4]Data!BD$36</f>
        <v>6.9461622446653042</v>
      </c>
      <c r="I10" s="54">
        <f>'1d_Cooking (2)'!I10/[4]Data!BE$35*[4]Data!BE$36</f>
        <v>7.75013791603598</v>
      </c>
      <c r="J10" s="54">
        <f>'1d_Cooking (2)'!J10/[4]Data!BF$35*[4]Data!BF$36</f>
        <v>8.445136836291411</v>
      </c>
      <c r="K10" s="54">
        <f>'1d_Cooking (2)'!K10/[4]Data!BG$35*[4]Data!BG$36</f>
        <v>7.4574616873591291</v>
      </c>
      <c r="L10" s="54">
        <f>'1d_Cooking (2)'!L10/[4]Data!BH$35*[4]Data!BH$36</f>
        <v>7.8739202322940143</v>
      </c>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f>'1d_Cooking (2)'!D14/[4]Data!AZ$35*[4]Data!AZ$36</f>
        <v>333.85166388824206</v>
      </c>
      <c r="E14" s="54">
        <f>'1d_Cooking (2)'!E14/[4]Data!BA$35*[4]Data!BA$36</f>
        <v>360.81912391288711</v>
      </c>
      <c r="F14" s="54">
        <f>'1d_Cooking (2)'!F14/[4]Data!BB$35*[4]Data!BB$36</f>
        <v>391.93118084623995</v>
      </c>
      <c r="G14" s="54">
        <f>'1d_Cooking (2)'!G14/[4]Data!BC$35*[4]Data!BC$36</f>
        <v>383.47825264002131</v>
      </c>
      <c r="H14" s="54">
        <f>'1d_Cooking (2)'!H14/[4]Data!BD$35*[4]Data!BD$36</f>
        <v>392.83970869250146</v>
      </c>
      <c r="I14" s="54">
        <f>'1d_Cooking (2)'!I14/[4]Data!BE$35*[4]Data!BE$36</f>
        <v>374.11116524870818</v>
      </c>
      <c r="J14" s="54">
        <f>'1d_Cooking (2)'!J14/[4]Data!BF$35*[4]Data!BF$36</f>
        <v>310.34454847683412</v>
      </c>
      <c r="K14" s="54">
        <f>'1d_Cooking (2)'!K14/[4]Data!BG$35*[4]Data!BG$36</f>
        <v>336.05602881658018</v>
      </c>
      <c r="L14" s="54">
        <f>'1d_Cooking (2)'!L14/[4]Data!BH$35*[4]Data!BH$36</f>
        <v>276.16794883147702</v>
      </c>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tabSelected="1" zoomScale="90" zoomScaleNormal="90" workbookViewId="0">
      <pane xSplit="3" topLeftCell="D1" activePane="topRight" state="frozen"/>
      <selection activeCell="L9" sqref="L9"/>
      <selection pane="topRight" activeCell="F13" sqref="F13"/>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f>'1e_LightingAndAppliances (2)'!D6/[4]Data!AZ$35*[4]Data!AZ$36</f>
        <v>1342.5159328930076</v>
      </c>
      <c r="E6" s="59">
        <f>'1e_LightingAndAppliances (2)'!E6/[4]Data!BA$35*[4]Data!BA$36</f>
        <v>1288.1350127157943</v>
      </c>
      <c r="F6" s="59">
        <f>'1e_LightingAndAppliances (2)'!F6/[4]Data!BB$35*[4]Data!BB$36</f>
        <v>1233.3380429305066</v>
      </c>
      <c r="G6" s="59">
        <f>'1e_LightingAndAppliances (2)'!G6/[4]Data!BC$35*[4]Data!BC$36</f>
        <v>1238.7535589009133</v>
      </c>
      <c r="H6" s="59">
        <f>'1e_LightingAndAppliances (2)'!H6/[4]Data!BD$35*[4]Data!BD$36</f>
        <v>1185.2300625094094</v>
      </c>
      <c r="I6" s="59">
        <f>'1e_LightingAndAppliances (2)'!I6/[4]Data!BE$35*[4]Data!BE$36</f>
        <v>1225.7686187518484</v>
      </c>
      <c r="J6" s="59">
        <f>'1e_LightingAndAppliances (2)'!J6/[4]Data!BF$35*[4]Data!BF$36</f>
        <v>1237.8241004828903</v>
      </c>
      <c r="K6" s="59">
        <f>'1e_LightingAndAppliances (2)'!K6/[4]Data!BG$35*[4]Data!BG$36</f>
        <v>1196.5785810111579</v>
      </c>
      <c r="L6" s="59">
        <f>'1e_LightingAndAppliances (2)'!L6/[4]Data!BH$35*[4]Data!BH$36</f>
        <v>1184.6149093553176</v>
      </c>
      <c r="M6" s="59"/>
      <c r="N6" s="59"/>
      <c r="O6" s="59"/>
      <c r="DS6" s="4" t="str">
        <f>VLOOKUP(Cover!$D$15, Country_list!$B$3:$C$44, 2, 0)</f>
        <v>MK</v>
      </c>
      <c r="DT6" s="32" t="s">
        <v>289</v>
      </c>
      <c r="DV6" s="138" t="s">
        <v>306</v>
      </c>
      <c r="EB6" s="32" t="s">
        <v>291</v>
      </c>
      <c r="ED6" s="32" t="s">
        <v>294</v>
      </c>
    </row>
    <row r="7" spans="1:134" ht="21" customHeight="1" x14ac:dyDescent="0.3"/>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7620</xdr:colOff>
                    <xdr:row>6</xdr:row>
                    <xdr:rowOff>7620</xdr:rowOff>
                  </from>
                  <to>
                    <xdr:col>1</xdr:col>
                    <xdr:colOff>1021080</xdr:colOff>
                    <xdr:row>9</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opLeftCell="A3"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3">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ColWidth="9.109375" defaultRowHeight="14.4" x14ac:dyDescent="0.3"/>
  <cols>
    <col min="1" max="2" width="2.6640625" style="22" customWidth="1"/>
    <col min="3" max="3" width="96.6640625" style="22" customWidth="1"/>
    <col min="4" max="4" width="2.6640625" style="22" customWidth="1"/>
    <col min="5" max="16384" width="9.109375" style="22"/>
  </cols>
  <sheetData>
    <row r="2" spans="2:4" ht="15" thickBot="1" x14ac:dyDescent="0.35"/>
    <row r="3" spans="2:4" ht="30" customHeight="1" thickBot="1" x14ac:dyDescent="0.35">
      <c r="B3" s="194" t="s">
        <v>44</v>
      </c>
      <c r="C3" s="195"/>
      <c r="D3" s="196"/>
    </row>
    <row r="4" spans="2:4" ht="15" thickBot="1" x14ac:dyDescent="0.35"/>
    <row r="5" spans="2:4" ht="15" customHeight="1" x14ac:dyDescent="0.3">
      <c r="B5" s="38"/>
      <c r="C5" s="197"/>
      <c r="D5" s="90"/>
    </row>
    <row r="6" spans="2:4" x14ac:dyDescent="0.3">
      <c r="B6" s="39"/>
      <c r="C6" s="198"/>
      <c r="D6" s="40"/>
    </row>
    <row r="7" spans="2:4" x14ac:dyDescent="0.3">
      <c r="B7" s="39"/>
      <c r="C7" s="198"/>
      <c r="D7" s="40"/>
    </row>
    <row r="8" spans="2:4" x14ac:dyDescent="0.3">
      <c r="B8" s="39"/>
      <c r="C8" s="198"/>
      <c r="D8" s="40"/>
    </row>
    <row r="9" spans="2:4" x14ac:dyDescent="0.3">
      <c r="B9" s="39"/>
      <c r="C9" s="198"/>
      <c r="D9" s="40"/>
    </row>
    <row r="10" spans="2:4" x14ac:dyDescent="0.3">
      <c r="B10" s="39"/>
      <c r="C10" s="198"/>
      <c r="D10" s="40"/>
    </row>
    <row r="11" spans="2:4" x14ac:dyDescent="0.3">
      <c r="B11" s="39"/>
      <c r="C11" s="198"/>
      <c r="D11" s="40"/>
    </row>
    <row r="12" spans="2:4" x14ac:dyDescent="0.3">
      <c r="B12" s="39"/>
      <c r="C12" s="198"/>
      <c r="D12" s="40"/>
    </row>
    <row r="13" spans="2:4" x14ac:dyDescent="0.3">
      <c r="B13" s="39"/>
      <c r="C13" s="198"/>
      <c r="D13" s="40"/>
    </row>
    <row r="14" spans="2:4" x14ac:dyDescent="0.3">
      <c r="B14" s="39"/>
      <c r="C14" s="198"/>
      <c r="D14" s="40"/>
    </row>
    <row r="15" spans="2:4" x14ac:dyDescent="0.3">
      <c r="B15" s="39"/>
      <c r="C15" s="198"/>
      <c r="D15" s="40"/>
    </row>
    <row r="16" spans="2:4" x14ac:dyDescent="0.3">
      <c r="B16" s="39"/>
      <c r="C16" s="198"/>
      <c r="D16" s="40"/>
    </row>
    <row r="17" spans="2:4" x14ac:dyDescent="0.3">
      <c r="B17" s="39"/>
      <c r="C17" s="198"/>
      <c r="D17" s="40"/>
    </row>
    <row r="18" spans="2:4" x14ac:dyDescent="0.3">
      <c r="B18" s="39"/>
      <c r="C18" s="198"/>
      <c r="D18" s="40"/>
    </row>
    <row r="19" spans="2:4" x14ac:dyDescent="0.3">
      <c r="B19" s="39"/>
      <c r="C19" s="198"/>
      <c r="D19" s="40"/>
    </row>
    <row r="20" spans="2:4" x14ac:dyDescent="0.3">
      <c r="B20" s="39"/>
      <c r="C20" s="198"/>
      <c r="D20" s="40"/>
    </row>
    <row r="21" spans="2:4" x14ac:dyDescent="0.3">
      <c r="B21" s="39"/>
      <c r="C21" s="198"/>
      <c r="D21" s="40"/>
    </row>
    <row r="22" spans="2:4" x14ac:dyDescent="0.3">
      <c r="B22" s="39"/>
      <c r="C22" s="198"/>
      <c r="D22" s="40"/>
    </row>
    <row r="23" spans="2:4" x14ac:dyDescent="0.3">
      <c r="B23" s="39"/>
      <c r="C23" s="198"/>
      <c r="D23" s="40"/>
    </row>
    <row r="24" spans="2:4" x14ac:dyDescent="0.3">
      <c r="B24" s="39"/>
      <c r="C24" s="198"/>
      <c r="D24" s="40"/>
    </row>
    <row r="25" spans="2:4" x14ac:dyDescent="0.3">
      <c r="B25" s="39"/>
      <c r="C25" s="198"/>
      <c r="D25" s="40"/>
    </row>
    <row r="26" spans="2:4" x14ac:dyDescent="0.3">
      <c r="B26" s="39"/>
      <c r="C26" s="198"/>
      <c r="D26" s="40"/>
    </row>
    <row r="27" spans="2:4" x14ac:dyDescent="0.3">
      <c r="B27" s="39"/>
      <c r="C27" s="198"/>
      <c r="D27" s="40"/>
    </row>
    <row r="28" spans="2:4" x14ac:dyDescent="0.3">
      <c r="B28" s="39"/>
      <c r="C28" s="198"/>
      <c r="D28" s="40"/>
    </row>
    <row r="29" spans="2:4" x14ac:dyDescent="0.3">
      <c r="B29" s="39"/>
      <c r="C29" s="198"/>
      <c r="D29" s="40"/>
    </row>
    <row r="30" spans="2:4" x14ac:dyDescent="0.3">
      <c r="B30" s="39"/>
      <c r="C30" s="198"/>
      <c r="D30" s="40"/>
    </row>
    <row r="31" spans="2:4" x14ac:dyDescent="0.3">
      <c r="B31" s="39"/>
      <c r="C31" s="198"/>
      <c r="D31" s="40"/>
    </row>
    <row r="32" spans="2:4" x14ac:dyDescent="0.3">
      <c r="B32" s="39"/>
      <c r="C32" s="198"/>
      <c r="D32" s="40"/>
    </row>
    <row r="33" spans="2:4" x14ac:dyDescent="0.3">
      <c r="B33" s="39"/>
      <c r="C33" s="198"/>
      <c r="D33" s="40"/>
    </row>
    <row r="34" spans="2:4" x14ac:dyDescent="0.3">
      <c r="B34" s="39"/>
      <c r="C34" s="198"/>
      <c r="D34" s="40"/>
    </row>
    <row r="35" spans="2:4" x14ac:dyDescent="0.3">
      <c r="B35" s="39"/>
      <c r="C35" s="198"/>
      <c r="D35" s="40"/>
    </row>
    <row r="36" spans="2:4" x14ac:dyDescent="0.3">
      <c r="B36" s="39"/>
      <c r="C36" s="198"/>
      <c r="D36" s="40"/>
    </row>
    <row r="37" spans="2:4" x14ac:dyDescent="0.3">
      <c r="B37" s="39"/>
      <c r="C37" s="198"/>
      <c r="D37" s="40"/>
    </row>
    <row r="38" spans="2:4" x14ac:dyDescent="0.3">
      <c r="B38" s="39"/>
      <c r="C38" s="198"/>
      <c r="D38" s="40"/>
    </row>
    <row r="39" spans="2:4" x14ac:dyDescent="0.3">
      <c r="B39" s="39"/>
      <c r="C39" s="198"/>
      <c r="D39" s="40"/>
    </row>
    <row r="40" spans="2:4" x14ac:dyDescent="0.3">
      <c r="B40" s="39"/>
      <c r="C40" s="198"/>
      <c r="D40" s="40"/>
    </row>
    <row r="41" spans="2:4" x14ac:dyDescent="0.3">
      <c r="B41" s="39"/>
      <c r="C41" s="198"/>
      <c r="D41" s="40"/>
    </row>
    <row r="42" spans="2:4" x14ac:dyDescent="0.3">
      <c r="B42" s="39"/>
      <c r="C42" s="198"/>
      <c r="D42" s="40"/>
    </row>
    <row r="43" spans="2:4" ht="15" thickBot="1" x14ac:dyDescent="0.35">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182880</xdr:rowOff>
                  </from>
                  <to>
                    <xdr:col>3</xdr:col>
                    <xdr:colOff>160020</xdr:colOff>
                    <xdr:row>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ColWidth="9.109375" defaultRowHeight="14.4" x14ac:dyDescent="0.3"/>
  <cols>
    <col min="2" max="2" width="61.88671875" bestFit="1" customWidth="1"/>
  </cols>
  <sheetData>
    <row r="2" spans="2:3" x14ac:dyDescent="0.3">
      <c r="B2" s="21" t="s">
        <v>45</v>
      </c>
    </row>
    <row r="3" spans="2:3" x14ac:dyDescent="0.3">
      <c r="B3" t="s">
        <v>46</v>
      </c>
      <c r="C3" t="s">
        <v>237</v>
      </c>
    </row>
    <row r="4" spans="2:3" x14ac:dyDescent="0.3">
      <c r="B4" t="s">
        <v>47</v>
      </c>
      <c r="C4" t="s">
        <v>238</v>
      </c>
    </row>
    <row r="5" spans="2:3" x14ac:dyDescent="0.3">
      <c r="B5" t="s">
        <v>48</v>
      </c>
      <c r="C5" t="s">
        <v>239</v>
      </c>
    </row>
    <row r="6" spans="2:3" x14ac:dyDescent="0.3">
      <c r="B6" t="s">
        <v>73</v>
      </c>
      <c r="C6" t="s">
        <v>240</v>
      </c>
    </row>
    <row r="7" spans="2:3" x14ac:dyDescent="0.3">
      <c r="B7" t="s">
        <v>49</v>
      </c>
      <c r="C7" t="s">
        <v>241</v>
      </c>
    </row>
    <row r="8" spans="2:3" x14ac:dyDescent="0.3">
      <c r="B8" t="s">
        <v>56</v>
      </c>
      <c r="C8" t="s">
        <v>242</v>
      </c>
    </row>
    <row r="9" spans="2:3" x14ac:dyDescent="0.3">
      <c r="B9" t="s">
        <v>58</v>
      </c>
      <c r="C9" t="s">
        <v>243</v>
      </c>
    </row>
    <row r="10" spans="2:3" x14ac:dyDescent="0.3">
      <c r="B10" t="s">
        <v>179</v>
      </c>
      <c r="C10" t="s">
        <v>275</v>
      </c>
    </row>
    <row r="11" spans="2:3" x14ac:dyDescent="0.3">
      <c r="B11" t="s">
        <v>50</v>
      </c>
      <c r="C11" t="s">
        <v>244</v>
      </c>
    </row>
    <row r="12" spans="2:3" x14ac:dyDescent="0.3">
      <c r="B12" t="s">
        <v>51</v>
      </c>
      <c r="C12" t="s">
        <v>245</v>
      </c>
    </row>
    <row r="13" spans="2:3" x14ac:dyDescent="0.3">
      <c r="B13" t="s">
        <v>69</v>
      </c>
      <c r="C13" t="s">
        <v>246</v>
      </c>
    </row>
    <row r="14" spans="2:3" x14ac:dyDescent="0.3">
      <c r="B14" t="s">
        <v>55</v>
      </c>
      <c r="C14" t="s">
        <v>230</v>
      </c>
    </row>
    <row r="15" spans="2:3" x14ac:dyDescent="0.3">
      <c r="B15" t="s">
        <v>141</v>
      </c>
      <c r="C15" t="s">
        <v>247</v>
      </c>
    </row>
    <row r="16" spans="2:3" x14ac:dyDescent="0.3">
      <c r="B16" t="s">
        <v>74</v>
      </c>
      <c r="C16" t="s">
        <v>248</v>
      </c>
    </row>
    <row r="17" spans="2:3" x14ac:dyDescent="0.3">
      <c r="B17" t="s">
        <v>53</v>
      </c>
      <c r="C17" t="s">
        <v>249</v>
      </c>
    </row>
    <row r="18" spans="2:3" x14ac:dyDescent="0.3">
      <c r="B18" t="s">
        <v>62</v>
      </c>
      <c r="C18" t="s">
        <v>250</v>
      </c>
    </row>
    <row r="19" spans="2:3" x14ac:dyDescent="0.3">
      <c r="B19" t="s">
        <v>75</v>
      </c>
      <c r="C19" t="s">
        <v>251</v>
      </c>
    </row>
    <row r="20" spans="2:3" x14ac:dyDescent="0.3">
      <c r="B20" t="s">
        <v>52</v>
      </c>
      <c r="C20" t="s">
        <v>252</v>
      </c>
    </row>
    <row r="21" spans="2:3" x14ac:dyDescent="0.3">
      <c r="B21" t="s">
        <v>57</v>
      </c>
      <c r="C21" t="s">
        <v>253</v>
      </c>
    </row>
    <row r="22" spans="2:3" x14ac:dyDescent="0.3">
      <c r="B22" t="s">
        <v>140</v>
      </c>
      <c r="C22" t="s">
        <v>276</v>
      </c>
    </row>
    <row r="23" spans="2:3" x14ac:dyDescent="0.3">
      <c r="B23" t="s">
        <v>59</v>
      </c>
      <c r="C23" t="s">
        <v>254</v>
      </c>
    </row>
    <row r="24" spans="2:3" x14ac:dyDescent="0.3">
      <c r="B24" t="s">
        <v>76</v>
      </c>
      <c r="C24" t="s">
        <v>255</v>
      </c>
    </row>
    <row r="25" spans="2:3" x14ac:dyDescent="0.3">
      <c r="B25" t="s">
        <v>60</v>
      </c>
      <c r="C25" t="s">
        <v>256</v>
      </c>
    </row>
    <row r="26" spans="2:3" x14ac:dyDescent="0.3">
      <c r="B26" t="s">
        <v>61</v>
      </c>
      <c r="C26" t="s">
        <v>257</v>
      </c>
    </row>
    <row r="27" spans="2:3" x14ac:dyDescent="0.3">
      <c r="B27" t="s">
        <v>63</v>
      </c>
      <c r="C27" t="s">
        <v>258</v>
      </c>
    </row>
    <row r="28" spans="2:3" x14ac:dyDescent="0.3">
      <c r="B28" t="s">
        <v>139</v>
      </c>
      <c r="C28" t="s">
        <v>259</v>
      </c>
    </row>
    <row r="29" spans="2:3" x14ac:dyDescent="0.3">
      <c r="B29" t="s">
        <v>77</v>
      </c>
      <c r="C29" t="s">
        <v>260</v>
      </c>
    </row>
    <row r="30" spans="2:3" x14ac:dyDescent="0.3">
      <c r="B30" t="s">
        <v>64</v>
      </c>
      <c r="C30" t="s">
        <v>261</v>
      </c>
    </row>
    <row r="31" spans="2:3" x14ac:dyDescent="0.3">
      <c r="B31" t="s">
        <v>178</v>
      </c>
      <c r="C31" t="s">
        <v>262</v>
      </c>
    </row>
    <row r="32" spans="2:3" x14ac:dyDescent="0.3">
      <c r="B32" t="s">
        <v>78</v>
      </c>
      <c r="C32" t="s">
        <v>263</v>
      </c>
    </row>
    <row r="33" spans="2:3" x14ac:dyDescent="0.3">
      <c r="B33" t="s">
        <v>65</v>
      </c>
      <c r="C33" t="s">
        <v>264</v>
      </c>
    </row>
    <row r="34" spans="2:3" x14ac:dyDescent="0.3">
      <c r="B34" t="s">
        <v>66</v>
      </c>
      <c r="C34" t="s">
        <v>265</v>
      </c>
    </row>
    <row r="35" spans="2:3" x14ac:dyDescent="0.3">
      <c r="B35" t="s">
        <v>67</v>
      </c>
      <c r="C35" t="s">
        <v>266</v>
      </c>
    </row>
    <row r="36" spans="2:3" x14ac:dyDescent="0.3">
      <c r="B36" t="s">
        <v>79</v>
      </c>
      <c r="C36" t="s">
        <v>267</v>
      </c>
    </row>
    <row r="37" spans="2:3" x14ac:dyDescent="0.3">
      <c r="B37" t="s">
        <v>80</v>
      </c>
      <c r="C37" t="s">
        <v>277</v>
      </c>
    </row>
    <row r="38" spans="2:3" x14ac:dyDescent="0.3">
      <c r="B38" t="s">
        <v>68</v>
      </c>
      <c r="C38" t="s">
        <v>268</v>
      </c>
    </row>
    <row r="39" spans="2:3" x14ac:dyDescent="0.3">
      <c r="B39" t="s">
        <v>54</v>
      </c>
      <c r="C39" t="s">
        <v>269</v>
      </c>
    </row>
    <row r="40" spans="2:3" x14ac:dyDescent="0.3">
      <c r="B40" t="s">
        <v>70</v>
      </c>
      <c r="C40" t="s">
        <v>270</v>
      </c>
    </row>
    <row r="41" spans="2:3" x14ac:dyDescent="0.3">
      <c r="B41" t="s">
        <v>81</v>
      </c>
      <c r="C41" t="s">
        <v>271</v>
      </c>
    </row>
    <row r="42" spans="2:3" x14ac:dyDescent="0.3">
      <c r="B42" t="s">
        <v>72</v>
      </c>
      <c r="C42" t="s">
        <v>272</v>
      </c>
    </row>
    <row r="43" spans="2:3" x14ac:dyDescent="0.3">
      <c r="B43" t="s">
        <v>138</v>
      </c>
      <c r="C43" t="s">
        <v>273</v>
      </c>
    </row>
    <row r="44" spans="2:3" x14ac:dyDescent="0.3">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884FB-166C-4C30-AD4E-CBD2AE0C6960}">
  <sheetPr codeName="Sheet15">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922.6</v>
      </c>
      <c r="E6" s="56">
        <v>1114.7</v>
      </c>
      <c r="F6" s="56">
        <v>1121.2</v>
      </c>
      <c r="G6" s="56">
        <v>907.7</v>
      </c>
      <c r="H6" s="56">
        <v>974.5</v>
      </c>
      <c r="I6" s="56">
        <v>902.95100000000002</v>
      </c>
      <c r="J6" s="56">
        <v>875.5</v>
      </c>
      <c r="K6" s="56">
        <v>985.84264666715501</v>
      </c>
      <c r="L6" s="56">
        <v>902.95144044370329</v>
      </c>
      <c r="M6" s="56"/>
      <c r="N6" s="56"/>
      <c r="O6" s="56"/>
      <c r="DS6" s="4" t="str">
        <f>VLOOKUP(Cover!$D$15, Country_list!$B$3:$C$44, 2, 0)</f>
        <v>MK</v>
      </c>
      <c r="DT6" s="32" t="s">
        <v>289</v>
      </c>
      <c r="DV6" s="32" t="s">
        <v>302</v>
      </c>
      <c r="EB6" s="32" t="s">
        <v>291</v>
      </c>
      <c r="ED6" s="32" t="s">
        <v>294</v>
      </c>
    </row>
    <row r="7" spans="1:134" ht="24" customHeight="1" x14ac:dyDescent="0.3">
      <c r="A7" s="157" t="s">
        <v>15</v>
      </c>
      <c r="B7" s="181"/>
      <c r="C7" s="9" t="s">
        <v>25</v>
      </c>
      <c r="D7" s="57">
        <v>1423.5</v>
      </c>
      <c r="E7" s="54">
        <v>1559.1</v>
      </c>
      <c r="F7" s="54">
        <v>1430.9</v>
      </c>
      <c r="G7" s="54">
        <v>1183.3</v>
      </c>
      <c r="H7" s="54">
        <v>1141.5</v>
      </c>
      <c r="I7" s="54">
        <v>1417.546</v>
      </c>
      <c r="J7" s="54">
        <v>1368.5</v>
      </c>
      <c r="K7" s="54">
        <v>1468.6410000000001</v>
      </c>
      <c r="L7" s="54">
        <v>1417.5467999999998</v>
      </c>
      <c r="M7" s="54"/>
      <c r="N7" s="54"/>
      <c r="O7" s="54"/>
      <c r="DT7" s="32" t="s">
        <v>290</v>
      </c>
      <c r="EB7" s="32" t="s">
        <v>291</v>
      </c>
      <c r="ED7" s="32" t="s">
        <v>295</v>
      </c>
    </row>
    <row r="8" spans="1:134" ht="24" customHeight="1" x14ac:dyDescent="0.3">
      <c r="A8" s="157" t="s">
        <v>29</v>
      </c>
      <c r="B8" s="181"/>
      <c r="C8" s="9" t="s">
        <v>17</v>
      </c>
      <c r="D8" s="57"/>
      <c r="E8" s="54"/>
      <c r="F8" s="54"/>
      <c r="G8" s="54">
        <v>0.41849999999999998</v>
      </c>
      <c r="H8" s="54">
        <v>1.8747</v>
      </c>
      <c r="I8" s="54">
        <v>8.6020000000000003</v>
      </c>
      <c r="J8" s="54">
        <v>4.28</v>
      </c>
      <c r="K8" s="54">
        <v>7</v>
      </c>
      <c r="L8" s="54">
        <v>9</v>
      </c>
      <c r="M8" s="54"/>
      <c r="N8" s="54"/>
      <c r="O8" s="54"/>
      <c r="DT8" s="32" t="s">
        <v>231</v>
      </c>
      <c r="EB8" s="32" t="s">
        <v>291</v>
      </c>
      <c r="ED8" s="32" t="s">
        <v>296</v>
      </c>
    </row>
    <row r="9" spans="1:134" ht="24" customHeight="1" x14ac:dyDescent="0.3">
      <c r="A9" s="157" t="s">
        <v>156</v>
      </c>
      <c r="B9" s="181"/>
      <c r="C9" s="9" t="s">
        <v>19</v>
      </c>
      <c r="D9" s="57">
        <v>8.9190000000000005</v>
      </c>
      <c r="E9" s="54">
        <v>6.4269999999999996</v>
      </c>
      <c r="F9" s="54">
        <v>6.6820000000000004</v>
      </c>
      <c r="G9" s="54">
        <v>6.48</v>
      </c>
      <c r="H9" s="54">
        <v>4.4619999999999997</v>
      </c>
      <c r="I9" s="54">
        <v>3.22</v>
      </c>
      <c r="J9" s="54">
        <v>4.1189999999999998</v>
      </c>
      <c r="K9" s="54">
        <v>4.1390000000000002</v>
      </c>
      <c r="L9" s="54">
        <v>3.22</v>
      </c>
      <c r="M9" s="54"/>
      <c r="N9" s="54"/>
      <c r="O9" s="54"/>
      <c r="DT9" s="32" t="s">
        <v>279</v>
      </c>
      <c r="EB9" s="32" t="s">
        <v>292</v>
      </c>
      <c r="ED9" s="32" t="s">
        <v>293</v>
      </c>
    </row>
    <row r="10" spans="1:134" ht="24" customHeight="1" x14ac:dyDescent="0.3">
      <c r="A10" s="157" t="s">
        <v>20</v>
      </c>
      <c r="B10" s="181"/>
      <c r="C10" s="9" t="s">
        <v>19</v>
      </c>
      <c r="D10" s="57">
        <v>1.016</v>
      </c>
      <c r="E10" s="54">
        <v>1.0580000000000001</v>
      </c>
      <c r="F10" s="54">
        <v>18.920999999999999</v>
      </c>
      <c r="G10" s="54">
        <v>5.96</v>
      </c>
      <c r="H10" s="54">
        <v>4.7</v>
      </c>
      <c r="I10" s="54">
        <v>4.8239999999999998</v>
      </c>
      <c r="J10" s="54">
        <v>4.5289999999999999</v>
      </c>
      <c r="K10" s="54">
        <v>4.8719999999999999</v>
      </c>
      <c r="L10" s="54">
        <v>4.4770000000000003</v>
      </c>
      <c r="M10" s="54"/>
      <c r="N10" s="54"/>
      <c r="O10" s="54"/>
      <c r="DT10" s="32" t="s">
        <v>280</v>
      </c>
      <c r="EB10" s="32" t="s">
        <v>292</v>
      </c>
      <c r="ED10" s="32" t="s">
        <v>293</v>
      </c>
    </row>
    <row r="11" spans="1:134" s="33" customFormat="1" ht="15" customHeight="1" x14ac:dyDescent="0.3">
      <c r="A11" s="156" t="s">
        <v>18</v>
      </c>
      <c r="B11" s="102" t="s">
        <v>21</v>
      </c>
      <c r="C11" s="103" t="s">
        <v>19</v>
      </c>
      <c r="D11" s="104">
        <v>1.016</v>
      </c>
      <c r="E11" s="105">
        <v>1.0580000000000001</v>
      </c>
      <c r="F11" s="105">
        <v>0.98599999999999999</v>
      </c>
      <c r="G11" s="105">
        <v>0.76</v>
      </c>
      <c r="H11" s="105">
        <v>0.625</v>
      </c>
      <c r="I11" s="105">
        <v>0.7</v>
      </c>
      <c r="J11" s="105">
        <v>0.76600000000000001</v>
      </c>
      <c r="K11" s="105">
        <v>0.76300000000000001</v>
      </c>
      <c r="L11" s="105">
        <v>0.71699999999999997</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v>17.934999999999999</v>
      </c>
      <c r="G13" s="105">
        <v>5.2</v>
      </c>
      <c r="H13" s="105">
        <v>4.0750000000000002</v>
      </c>
      <c r="I13" s="105">
        <v>4.1239999999999997</v>
      </c>
      <c r="J13" s="105">
        <v>3.7629999999999999</v>
      </c>
      <c r="K13" s="105">
        <v>4.109</v>
      </c>
      <c r="L13" s="105">
        <v>3.76</v>
      </c>
      <c r="M13" s="105"/>
      <c r="N13" s="105"/>
      <c r="O13" s="105"/>
      <c r="DT13" s="33" t="s">
        <v>283</v>
      </c>
      <c r="EB13" s="33" t="s">
        <v>292</v>
      </c>
      <c r="ED13" s="33" t="s">
        <v>293</v>
      </c>
    </row>
    <row r="14" spans="1:134" ht="24" customHeight="1" x14ac:dyDescent="0.3">
      <c r="A14" s="157" t="s">
        <v>24</v>
      </c>
      <c r="B14" s="181"/>
      <c r="C14" s="9" t="s">
        <v>25</v>
      </c>
      <c r="D14" s="57">
        <v>7299.88</v>
      </c>
      <c r="E14" s="54">
        <v>7938.05</v>
      </c>
      <c r="F14" s="54">
        <v>8680.68</v>
      </c>
      <c r="G14" s="54">
        <v>8640.3420000000006</v>
      </c>
      <c r="H14" s="54">
        <v>9106.92</v>
      </c>
      <c r="I14" s="54">
        <v>7532.0460000000003</v>
      </c>
      <c r="J14" s="54">
        <v>7513.7</v>
      </c>
      <c r="K14" s="54">
        <v>7532.0249999999996</v>
      </c>
      <c r="L14" s="54">
        <v>7326.3010000000004</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v>7299.88</v>
      </c>
      <c r="E16" s="105">
        <v>7938.05</v>
      </c>
      <c r="F16" s="105">
        <v>8680.68</v>
      </c>
      <c r="G16" s="105">
        <v>8640.3420000000006</v>
      </c>
      <c r="H16" s="105">
        <v>9106.92</v>
      </c>
      <c r="I16" s="105">
        <v>7532.0460000000003</v>
      </c>
      <c r="J16" s="105">
        <v>7513.7</v>
      </c>
      <c r="K16" s="105">
        <v>7532.0249999999996</v>
      </c>
      <c r="L16" s="105">
        <v>7326.3010000000004</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mergeCells count="13">
    <mergeCell ref="A15:A18"/>
    <mergeCell ref="A7:B7"/>
    <mergeCell ref="A8:B8"/>
    <mergeCell ref="A9:B9"/>
    <mergeCell ref="A10:B10"/>
    <mergeCell ref="A11:A13"/>
    <mergeCell ref="A14:B14"/>
    <mergeCell ref="A6:B6"/>
    <mergeCell ref="A1:B1"/>
    <mergeCell ref="A2:B2"/>
    <mergeCell ref="A3:B3"/>
    <mergeCell ref="A4:B4"/>
    <mergeCell ref="A5:B5"/>
  </mergeCells>
  <dataValidations count="1">
    <dataValidation type="decimal" operator="greaterThanOrEqual" allowBlank="1" showInputMessage="1" showErrorMessage="1" sqref="D6:O18" xr:uid="{B7693C10-251B-48A7-987B-E9766F843E82}">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Cover">
                <anchor moveWithCells="1" sizeWithCells="1">
                  <from>
                    <xdr:col>0</xdr:col>
                    <xdr:colOff>22860</xdr:colOff>
                    <xdr:row>18</xdr:row>
                    <xdr:rowOff>30480</xdr:rowOff>
                  </from>
                  <to>
                    <xdr:col>1</xdr:col>
                    <xdr:colOff>1028700</xdr:colOff>
                    <xdr:row>21</xdr:row>
                    <xdr:rowOff>22860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E0006-110B-4F4C-9F4F-3A4FDC37EE99}">
  <sheetPr codeName="Sheet16">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v>127.6</v>
      </c>
      <c r="E6" s="56">
        <v>123.2</v>
      </c>
      <c r="F6" s="56">
        <v>118.3</v>
      </c>
      <c r="G6" s="56">
        <v>119.2</v>
      </c>
      <c r="H6" s="56">
        <v>114.4</v>
      </c>
      <c r="I6" s="56">
        <v>118.8</v>
      </c>
      <c r="J6" s="56">
        <v>120.5</v>
      </c>
      <c r="K6" s="56">
        <v>116.6041377923023</v>
      </c>
      <c r="L6" s="56">
        <v>115.78019507583009</v>
      </c>
      <c r="M6" s="56"/>
      <c r="N6" s="56"/>
      <c r="O6" s="56"/>
      <c r="DS6" s="4" t="str">
        <f>VLOOKUP(Cover!$D$15, Country_list!$B$3:$C$44, 2, 0)</f>
        <v>MK</v>
      </c>
      <c r="DT6" s="32" t="s">
        <v>289</v>
      </c>
      <c r="DV6" s="32" t="s">
        <v>303</v>
      </c>
      <c r="EB6" s="32" t="s">
        <v>291</v>
      </c>
      <c r="ED6" s="32" t="s">
        <v>294</v>
      </c>
    </row>
    <row r="7" spans="1:134" ht="24" customHeight="1" x14ac:dyDescent="0.3">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3">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3">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3">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mergeCells count="13">
    <mergeCell ref="A15:A18"/>
    <mergeCell ref="A7:B7"/>
    <mergeCell ref="A8:B8"/>
    <mergeCell ref="A9:B9"/>
    <mergeCell ref="A10:B10"/>
    <mergeCell ref="A11:A13"/>
    <mergeCell ref="A14:B14"/>
    <mergeCell ref="A6:B6"/>
    <mergeCell ref="A1:B1"/>
    <mergeCell ref="A2:B2"/>
    <mergeCell ref="A3:B3"/>
    <mergeCell ref="A4:B4"/>
    <mergeCell ref="A5:B5"/>
  </mergeCells>
  <dataValidations count="1">
    <dataValidation type="decimal" operator="greaterThanOrEqual" allowBlank="1" showInputMessage="1" showErrorMessage="1" sqref="D6:O18" xr:uid="{BA49163D-2EDC-4E4C-959B-ED8F0758A1AA}">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641C2-87FE-4732-8AAF-C0157D4D7DFA}">
  <sheetPr codeName="Sheet17">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8</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772.2</v>
      </c>
      <c r="E6" s="56">
        <v>745.5</v>
      </c>
      <c r="F6" s="56">
        <v>715.7</v>
      </c>
      <c r="G6" s="56">
        <v>721</v>
      </c>
      <c r="H6" s="56">
        <v>692.3</v>
      </c>
      <c r="I6" s="56">
        <v>718.9</v>
      </c>
      <c r="J6" s="56">
        <v>729.2</v>
      </c>
      <c r="K6" s="56">
        <v>705.45120634967759</v>
      </c>
      <c r="L6" s="56">
        <v>700.46637995926528</v>
      </c>
      <c r="M6" s="56"/>
      <c r="N6" s="56"/>
      <c r="O6" s="56"/>
      <c r="DS6" s="4" t="str">
        <f>VLOOKUP(Cover!$D$15, Country_list!$B$3:$C$44, 2, 0)</f>
        <v>MK</v>
      </c>
      <c r="DT6" s="32" t="s">
        <v>289</v>
      </c>
      <c r="DV6" s="32" t="s">
        <v>304</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v>8.375</v>
      </c>
      <c r="E14" s="54">
        <v>7.92</v>
      </c>
      <c r="F14" s="54">
        <v>8.4540000000000006</v>
      </c>
      <c r="G14" s="54">
        <v>8.2940000000000005</v>
      </c>
      <c r="H14" s="54">
        <v>8.375</v>
      </c>
      <c r="I14" s="54">
        <v>8.1539999999999999</v>
      </c>
      <c r="J14" s="54">
        <v>6.7919999999999998</v>
      </c>
      <c r="K14" s="54">
        <v>7.3650000000000002</v>
      </c>
      <c r="L14" s="54">
        <v>6.07</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v>8.375</v>
      </c>
      <c r="E16" s="105">
        <v>7.92</v>
      </c>
      <c r="F16" s="105">
        <v>8.4540000000000006</v>
      </c>
      <c r="G16" s="105">
        <v>8.2940000000000005</v>
      </c>
      <c r="H16" s="105">
        <v>8.375</v>
      </c>
      <c r="I16" s="105">
        <v>8.1539999999999999</v>
      </c>
      <c r="J16" s="105">
        <v>6.7919999999999998</v>
      </c>
      <c r="K16" s="105">
        <v>7.3650000000000002</v>
      </c>
      <c r="L16" s="105">
        <v>6.07</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mergeCells count="13">
    <mergeCell ref="A15:A18"/>
    <mergeCell ref="A7:B7"/>
    <mergeCell ref="A8:B8"/>
    <mergeCell ref="A9:B9"/>
    <mergeCell ref="A10:B10"/>
    <mergeCell ref="A11:A13"/>
    <mergeCell ref="A14:B14"/>
    <mergeCell ref="A6:B6"/>
    <mergeCell ref="A1:B1"/>
    <mergeCell ref="A2:B2"/>
    <mergeCell ref="A3:B3"/>
    <mergeCell ref="A4:B4"/>
    <mergeCell ref="A5:B5"/>
  </mergeCells>
  <dataValidations count="1">
    <dataValidation type="decimal" operator="greaterThanOrEqual" allowBlank="1" showInputMessage="1" showErrorMessage="1" sqref="D6:O18" xr:uid="{D1D14D39-5D0A-4537-B61A-F362A725AF9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93071-D971-4750-B57B-E62A84340711}">
  <sheetPr codeName="Sheet18">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9</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466.4</v>
      </c>
      <c r="E6" s="56">
        <v>450.3</v>
      </c>
      <c r="F6" s="56">
        <v>432.3</v>
      </c>
      <c r="G6" s="56">
        <v>435.5</v>
      </c>
      <c r="H6" s="56">
        <v>418.2</v>
      </c>
      <c r="I6" s="56">
        <v>434.2</v>
      </c>
      <c r="J6" s="56">
        <v>440.5</v>
      </c>
      <c r="K6" s="56">
        <v>426.1</v>
      </c>
      <c r="L6" s="56">
        <v>423.11577150104671</v>
      </c>
      <c r="M6" s="56"/>
      <c r="N6" s="56"/>
      <c r="O6" s="56"/>
      <c r="DS6" s="4" t="str">
        <f>VLOOKUP(Cover!$D$15, Country_list!$B$3:$C$44, 2, 0)</f>
        <v>MK</v>
      </c>
      <c r="DT6" s="32" t="s">
        <v>289</v>
      </c>
      <c r="DV6" s="32" t="s">
        <v>305</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v>8.0660000000000007</v>
      </c>
      <c r="E10" s="54">
        <v>8.407</v>
      </c>
      <c r="F10" s="54">
        <v>7.8280000000000003</v>
      </c>
      <c r="G10" s="54">
        <v>6.0359999999999996</v>
      </c>
      <c r="H10" s="54">
        <v>4.9610000000000003</v>
      </c>
      <c r="I10" s="54">
        <v>5.5570000000000004</v>
      </c>
      <c r="J10" s="54">
        <v>6.0830000000000002</v>
      </c>
      <c r="K10" s="54">
        <v>5.3760000000000003</v>
      </c>
      <c r="L10" s="54">
        <v>5.6929999999999996</v>
      </c>
      <c r="M10" s="54"/>
      <c r="N10" s="54"/>
      <c r="O10" s="54"/>
      <c r="DT10" s="32" t="s">
        <v>280</v>
      </c>
      <c r="EB10" s="32" t="s">
        <v>292</v>
      </c>
      <c r="ED10" s="32" t="s">
        <v>293</v>
      </c>
    </row>
    <row r="11" spans="1:134" s="33" customFormat="1" ht="15" customHeight="1" x14ac:dyDescent="0.3">
      <c r="A11" s="156" t="s">
        <v>18</v>
      </c>
      <c r="B11" s="102" t="s">
        <v>21</v>
      </c>
      <c r="C11" s="103" t="s">
        <v>19</v>
      </c>
      <c r="D11" s="104">
        <v>8.0660000000000007</v>
      </c>
      <c r="E11" s="105">
        <v>8.407</v>
      </c>
      <c r="F11" s="105">
        <v>7.8280000000000003</v>
      </c>
      <c r="G11" s="105">
        <v>6.0359999999999996</v>
      </c>
      <c r="H11" s="105">
        <v>4.9610000000000003</v>
      </c>
      <c r="I11" s="105">
        <v>5.5570000000000004</v>
      </c>
      <c r="J11" s="105">
        <v>6.0830000000000002</v>
      </c>
      <c r="K11" s="105">
        <v>5.3760000000000003</v>
      </c>
      <c r="L11" s="105">
        <v>5.6929999999999996</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v>234.8</v>
      </c>
      <c r="E14" s="54">
        <v>255.32</v>
      </c>
      <c r="F14" s="54">
        <v>278.08999999999997</v>
      </c>
      <c r="G14" s="54">
        <v>272.91500000000002</v>
      </c>
      <c r="H14" s="54">
        <v>280.56900000000002</v>
      </c>
      <c r="I14" s="54">
        <v>268.245</v>
      </c>
      <c r="J14" s="54">
        <v>223.54</v>
      </c>
      <c r="K14" s="54">
        <v>242.25899999999999</v>
      </c>
      <c r="L14" s="54">
        <v>199.67488700854437</v>
      </c>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v>234.8</v>
      </c>
      <c r="E16" s="105">
        <v>255.32</v>
      </c>
      <c r="F16" s="105">
        <v>278.08999999999997</v>
      </c>
      <c r="G16" s="105">
        <v>272.91449999999998</v>
      </c>
      <c r="H16" s="105">
        <v>280.56900000000002</v>
      </c>
      <c r="I16" s="105">
        <v>268.245</v>
      </c>
      <c r="J16" s="105">
        <v>223.54</v>
      </c>
      <c r="K16" s="105">
        <v>242.25899999999999</v>
      </c>
      <c r="L16" s="105">
        <v>199.67488700854437</v>
      </c>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mergeCells count="13">
    <mergeCell ref="A15:A18"/>
    <mergeCell ref="A7:B7"/>
    <mergeCell ref="A8:B8"/>
    <mergeCell ref="A9:B9"/>
    <mergeCell ref="A10:B10"/>
    <mergeCell ref="A11:A13"/>
    <mergeCell ref="A14:B14"/>
    <mergeCell ref="A6:B6"/>
    <mergeCell ref="A1:B1"/>
    <mergeCell ref="A2:B2"/>
    <mergeCell ref="A3:B3"/>
    <mergeCell ref="A4:B4"/>
    <mergeCell ref="A5:B5"/>
  </mergeCells>
  <dataValidations count="1">
    <dataValidation type="decimal" operator="greaterThanOrEqual" allowBlank="1" showInputMessage="1" showErrorMessage="1" sqref="A3:B3 D6:O18" xr:uid="{BA3D36EC-3DB6-4767-A218-77A5E1E4260D}">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B1E8-BF83-422B-B87E-2A2C2B7AFD91}">
  <sheetPr codeName="Sheet19">
    <pageSetUpPr fitToPage="1"/>
  </sheetPr>
  <dimension ref="A1:ED7"/>
  <sheetViews>
    <sheetView showGridLines="0" zoomScale="90" zoomScaleNormal="90" workbookViewId="0">
      <pane xSplit="3" topLeftCell="D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944.2</v>
      </c>
      <c r="E6" s="59">
        <v>911.5</v>
      </c>
      <c r="F6" s="59">
        <v>875.1</v>
      </c>
      <c r="G6" s="59">
        <v>881.6</v>
      </c>
      <c r="H6" s="59">
        <v>846.5</v>
      </c>
      <c r="I6" s="59">
        <v>878.9</v>
      </c>
      <c r="J6" s="59">
        <v>891.6</v>
      </c>
      <c r="K6" s="59">
        <v>862.6</v>
      </c>
      <c r="L6" s="59">
        <v>856.5</v>
      </c>
      <c r="M6" s="59"/>
      <c r="N6" s="59"/>
      <c r="O6" s="59"/>
      <c r="DS6" s="4" t="str">
        <f>VLOOKUP(Cover!$D$15, Country_list!$B$3:$C$44, 2, 0)</f>
        <v>MK</v>
      </c>
      <c r="DT6" s="32" t="s">
        <v>289</v>
      </c>
      <c r="DV6" s="138" t="s">
        <v>306</v>
      </c>
      <c r="EB6" s="32" t="s">
        <v>291</v>
      </c>
      <c r="ED6" s="32" t="s">
        <v>294</v>
      </c>
    </row>
    <row r="7" spans="1:134" ht="21" customHeight="1" x14ac:dyDescent="0.3"/>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mergeCells count="6">
    <mergeCell ref="A6:B6"/>
    <mergeCell ref="A1:B1"/>
    <mergeCell ref="A2:B2"/>
    <mergeCell ref="A3:B3"/>
    <mergeCell ref="A4:B4"/>
    <mergeCell ref="A5:B5"/>
  </mergeCells>
  <dataValidations count="1">
    <dataValidation type="decimal" operator="greaterThanOrEqual" allowBlank="1" showInputMessage="1" showErrorMessage="1" sqref="D6:O6" xr:uid="{B09EDEE5-591E-4B56-8206-CCC462465E61}">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GoToCover">
                <anchor moveWithCells="1" sizeWithCells="1">
                  <from>
                    <xdr:col>0</xdr:col>
                    <xdr:colOff>7620</xdr:colOff>
                    <xdr:row>6</xdr:row>
                    <xdr:rowOff>7620</xdr:rowOff>
                  </from>
                  <to>
                    <xdr:col>1</xdr:col>
                    <xdr:colOff>1021080</xdr:colOff>
                    <xdr:row>9</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B72B6-36F6-493C-895E-A613E0D806F2}">
  <sheetPr codeName="Sheet20">
    <pageSetUpPr fitToPage="1"/>
  </sheetPr>
  <dimension ref="A1:ED19"/>
  <sheetViews>
    <sheetView showGridLines="0" zoomScale="90" zoomScaleNormal="90" workbookViewId="0">
      <pane xSplit="3" topLeftCell="I1" activePane="topRight" state="frozen"/>
      <selection activeCell="L9" sqref="L9"/>
      <selection pane="topRight" activeCell="L9" sqref="L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3">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mergeCells count="13">
    <mergeCell ref="A15:A18"/>
    <mergeCell ref="A7:B7"/>
    <mergeCell ref="A8:B8"/>
    <mergeCell ref="A9:B9"/>
    <mergeCell ref="A10:B10"/>
    <mergeCell ref="A11:A13"/>
    <mergeCell ref="A14:B14"/>
    <mergeCell ref="A6:B6"/>
    <mergeCell ref="A1:B1"/>
    <mergeCell ref="A2:B2"/>
    <mergeCell ref="A3:B3"/>
    <mergeCell ref="A4:B4"/>
    <mergeCell ref="A5:B5"/>
  </mergeCells>
  <dataValidations count="1">
    <dataValidation type="decimal" operator="greaterThanOrEqual" allowBlank="1" showInputMessage="1" showErrorMessage="1" sqref="A3:B3 D18:O18" xr:uid="{9333FE87-85F1-448F-A4A9-B7904B88650C}">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C1" zoomScale="90" zoomScaleNormal="90" workbookViewId="0">
      <selection activeCell="M25" sqref="M25"/>
    </sheetView>
  </sheetViews>
  <sheetFormatPr defaultColWidth="9.109375" defaultRowHeight="14.4" x14ac:dyDescent="0.3"/>
  <cols>
    <col min="1" max="1" width="18.6640625" customWidth="1"/>
    <col min="2" max="2" width="123.6640625" customWidth="1"/>
    <col min="3" max="14" width="9.109375" style="91"/>
  </cols>
  <sheetData>
    <row r="1" spans="1:14" ht="15.6" x14ac:dyDescent="0.3">
      <c r="A1" s="97" t="s">
        <v>170</v>
      </c>
    </row>
    <row r="4" spans="1:14" ht="15.6" x14ac:dyDescent="0.3">
      <c r="B4" s="98" t="s">
        <v>149</v>
      </c>
      <c r="C4" s="99" t="b">
        <f>COUNTIF(C7:J46, FALSE) = 0</f>
        <v>1</v>
      </c>
    </row>
    <row r="6" spans="1:14" x14ac:dyDescent="0.3">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3">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3">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3">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3">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3">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3">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3">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3">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3">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3">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3">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3">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3">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3">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3">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3">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3">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3">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3">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3">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3">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3">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3">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3">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3">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3">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3">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3">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3">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3">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3">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3">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3">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3">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3">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3">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3">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3">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3">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3">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22860</xdr:rowOff>
                  </from>
                  <to>
                    <xdr:col>4</xdr:col>
                    <xdr:colOff>175260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09375" defaultRowHeight="13.2" x14ac:dyDescent="0.25"/>
  <cols>
    <col min="1" max="1" width="27.109375" style="128" customWidth="1"/>
    <col min="2" max="2" width="27.88671875" style="128" customWidth="1"/>
    <col min="3" max="3" width="9.109375" style="128" customWidth="1"/>
    <col min="4" max="52" width="9.109375" style="128"/>
    <col min="53" max="156" width="9.109375" style="128" customWidth="1"/>
    <col min="157" max="16384" width="9.109375" style="128"/>
  </cols>
  <sheetData>
    <row r="1" spans="1:2" x14ac:dyDescent="0.25">
      <c r="A1" s="127" t="s">
        <v>187</v>
      </c>
      <c r="B1" s="127" t="s">
        <v>188</v>
      </c>
    </row>
    <row r="2" spans="1:2" x14ac:dyDescent="0.25">
      <c r="A2" s="129" t="s">
        <v>158</v>
      </c>
      <c r="B2" s="129" t="s">
        <v>189</v>
      </c>
    </row>
    <row r="3" spans="1:2" x14ac:dyDescent="0.25">
      <c r="A3" s="129" t="s">
        <v>152</v>
      </c>
      <c r="B3" s="129" t="s">
        <v>189</v>
      </c>
    </row>
    <row r="4" spans="1:2" x14ac:dyDescent="0.25">
      <c r="A4" s="129" t="s">
        <v>169</v>
      </c>
      <c r="B4" s="129" t="s">
        <v>189</v>
      </c>
    </row>
    <row r="5" spans="1:2" x14ac:dyDescent="0.25">
      <c r="A5" s="129" t="s">
        <v>153</v>
      </c>
      <c r="B5" s="129" t="s">
        <v>189</v>
      </c>
    </row>
    <row r="6" spans="1:2" x14ac:dyDescent="0.25">
      <c r="A6" s="129" t="s">
        <v>154</v>
      </c>
      <c r="B6" s="129" t="s">
        <v>189</v>
      </c>
    </row>
    <row r="7" spans="1:2" x14ac:dyDescent="0.25">
      <c r="A7" s="129" t="s">
        <v>228</v>
      </c>
      <c r="B7" s="129" t="s">
        <v>189</v>
      </c>
    </row>
    <row r="8" spans="1:2" x14ac:dyDescent="0.25">
      <c r="A8" s="129" t="s">
        <v>155</v>
      </c>
      <c r="B8" s="129" t="s">
        <v>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3.2" x14ac:dyDescent="0.25"/>
  <cols>
    <col min="1" max="1" width="22" style="128" customWidth="1"/>
    <col min="2" max="3" width="9" style="128" customWidth="1"/>
    <col min="4" max="5" width="9" style="128"/>
    <col min="6" max="6" width="25.33203125" style="128" customWidth="1"/>
    <col min="7" max="52" width="9" style="128"/>
    <col min="53" max="156" width="9" style="128" customWidth="1"/>
    <col min="157" max="16384" width="9" style="128"/>
  </cols>
  <sheetData>
    <row r="1" spans="1:7" ht="14.4" x14ac:dyDescent="0.3">
      <c r="A1" s="130" t="s">
        <v>190</v>
      </c>
      <c r="B1" s="130" t="s">
        <v>191</v>
      </c>
      <c r="C1" s="130" t="s">
        <v>192</v>
      </c>
      <c r="D1" s="130" t="s">
        <v>193</v>
      </c>
      <c r="E1" s="131"/>
      <c r="F1" s="130" t="s">
        <v>194</v>
      </c>
      <c r="G1" s="136" t="s">
        <v>233</v>
      </c>
    </row>
    <row r="2" spans="1:7" ht="14.4" x14ac:dyDescent="0.3">
      <c r="A2" s="131" t="s">
        <v>195</v>
      </c>
      <c r="B2" s="131" t="s">
        <v>196</v>
      </c>
      <c r="C2" s="131" t="s">
        <v>197</v>
      </c>
      <c r="D2" s="137" t="s">
        <v>278</v>
      </c>
      <c r="E2" s="131"/>
      <c r="F2" s="130" t="s">
        <v>198</v>
      </c>
      <c r="G2" s="136" t="s">
        <v>234</v>
      </c>
    </row>
    <row r="3" spans="1:7" ht="14.4" x14ac:dyDescent="0.3">
      <c r="A3" s="131" t="s">
        <v>199</v>
      </c>
      <c r="B3" s="131" t="s">
        <v>196</v>
      </c>
      <c r="C3" s="131" t="s">
        <v>197</v>
      </c>
      <c r="D3" s="131" t="s">
        <v>200</v>
      </c>
      <c r="E3" s="131"/>
      <c r="F3" s="130" t="s">
        <v>201</v>
      </c>
      <c r="G3" s="132" t="s">
        <v>202</v>
      </c>
    </row>
    <row r="4" spans="1:7" ht="14.4" x14ac:dyDescent="0.3">
      <c r="A4" s="131" t="s">
        <v>203</v>
      </c>
      <c r="B4" s="131" t="s">
        <v>196</v>
      </c>
      <c r="C4" s="137" t="s">
        <v>235</v>
      </c>
      <c r="D4" s="137" t="s">
        <v>236</v>
      </c>
      <c r="E4" s="131"/>
      <c r="F4" s="130"/>
      <c r="G4" s="133"/>
    </row>
    <row r="5" spans="1:7" ht="14.4" x14ac:dyDescent="0.3">
      <c r="A5" s="131" t="s">
        <v>205</v>
      </c>
      <c r="B5" s="131" t="s">
        <v>196</v>
      </c>
      <c r="C5" s="131" t="s">
        <v>204</v>
      </c>
      <c r="D5" s="131" t="s">
        <v>206</v>
      </c>
      <c r="E5" s="131"/>
      <c r="F5" s="127"/>
      <c r="G5" s="134"/>
    </row>
    <row r="6" spans="1:7" ht="14.4" x14ac:dyDescent="0.3">
      <c r="A6" s="131" t="s">
        <v>207</v>
      </c>
      <c r="B6" s="131" t="s">
        <v>196</v>
      </c>
      <c r="C6" s="137" t="s">
        <v>197</v>
      </c>
      <c r="D6" s="137" t="s">
        <v>297</v>
      </c>
      <c r="E6" s="131"/>
      <c r="F6" s="130"/>
      <c r="G6" s="133"/>
    </row>
    <row r="7" spans="1:7" ht="14.4" x14ac:dyDescent="0.3">
      <c r="A7" s="131" t="s">
        <v>208</v>
      </c>
      <c r="B7" s="131" t="s">
        <v>196</v>
      </c>
      <c r="C7" s="137" t="s">
        <v>235</v>
      </c>
      <c r="D7" s="137" t="s">
        <v>299</v>
      </c>
      <c r="E7" s="131"/>
      <c r="F7" s="130"/>
      <c r="G7" s="133"/>
    </row>
    <row r="8" spans="1:7" ht="14.4" x14ac:dyDescent="0.3">
      <c r="A8" s="131" t="s">
        <v>209</v>
      </c>
      <c r="B8" s="131" t="s">
        <v>196</v>
      </c>
      <c r="C8" s="137" t="s">
        <v>197</v>
      </c>
      <c r="D8" s="137" t="s">
        <v>232</v>
      </c>
      <c r="E8" s="131"/>
      <c r="F8" s="130"/>
      <c r="G8" s="133"/>
    </row>
    <row r="9" spans="1:7" ht="14.4" x14ac:dyDescent="0.3">
      <c r="A9" s="131" t="s">
        <v>210</v>
      </c>
      <c r="B9" s="131" t="s">
        <v>196</v>
      </c>
      <c r="C9" s="137" t="s">
        <v>197</v>
      </c>
      <c r="D9" s="137" t="s">
        <v>232</v>
      </c>
      <c r="E9" s="131"/>
      <c r="F9" s="130"/>
      <c r="G9" s="133"/>
    </row>
    <row r="10" spans="1:7" ht="14.4" x14ac:dyDescent="0.3">
      <c r="A10" s="131" t="s">
        <v>211</v>
      </c>
      <c r="B10" s="131" t="s">
        <v>196</v>
      </c>
      <c r="C10" s="137" t="s">
        <v>197</v>
      </c>
      <c r="D10" s="137" t="s">
        <v>232</v>
      </c>
      <c r="E10" s="131"/>
      <c r="F10" s="130"/>
      <c r="G10" s="133"/>
    </row>
    <row r="11" spans="1:7" ht="14.4" x14ac:dyDescent="0.3">
      <c r="A11" s="131" t="s">
        <v>212</v>
      </c>
      <c r="B11" s="131" t="s">
        <v>196</v>
      </c>
      <c r="C11" s="137" t="s">
        <v>197</v>
      </c>
      <c r="D11" s="137" t="s">
        <v>232</v>
      </c>
      <c r="E11" s="131"/>
      <c r="F11" s="130"/>
      <c r="G11" s="133"/>
    </row>
    <row r="12" spans="1:7" ht="14.4" x14ac:dyDescent="0.3">
      <c r="A12" s="131" t="s">
        <v>213</v>
      </c>
      <c r="B12" s="131" t="s">
        <v>196</v>
      </c>
      <c r="C12" s="137" t="s">
        <v>197</v>
      </c>
      <c r="D12" s="137" t="s">
        <v>232</v>
      </c>
      <c r="E12" s="131"/>
      <c r="F12" s="130"/>
      <c r="G12" s="133"/>
    </row>
    <row r="13" spans="1:7" ht="14.4" x14ac:dyDescent="0.3">
      <c r="A13" s="131" t="s">
        <v>214</v>
      </c>
      <c r="B13" s="131" t="s">
        <v>196</v>
      </c>
      <c r="C13" s="131" t="s">
        <v>204</v>
      </c>
      <c r="D13" s="131" t="s">
        <v>215</v>
      </c>
      <c r="E13" s="131"/>
      <c r="F13" s="130"/>
      <c r="G13" s="133"/>
    </row>
    <row r="14" spans="1:7" ht="14.4" x14ac:dyDescent="0.3">
      <c r="A14" s="131" t="s">
        <v>216</v>
      </c>
      <c r="B14" s="131" t="s">
        <v>196</v>
      </c>
      <c r="C14" s="131" t="s">
        <v>217</v>
      </c>
      <c r="D14" s="131">
        <v>5</v>
      </c>
      <c r="E14" s="131"/>
      <c r="F14" s="130"/>
      <c r="G14" s="133"/>
    </row>
    <row r="15" spans="1:7" ht="14.4" x14ac:dyDescent="0.3">
      <c r="A15" s="131" t="s">
        <v>218</v>
      </c>
      <c r="B15" s="131" t="s">
        <v>196</v>
      </c>
      <c r="C15" s="137" t="s">
        <v>197</v>
      </c>
      <c r="D15" s="137" t="s">
        <v>232</v>
      </c>
      <c r="E15" s="131"/>
      <c r="F15" s="130"/>
      <c r="G15" s="133"/>
    </row>
    <row r="16" spans="1:7" ht="14.4" x14ac:dyDescent="0.3">
      <c r="A16" s="131" t="s">
        <v>219</v>
      </c>
      <c r="B16" s="131" t="s">
        <v>220</v>
      </c>
      <c r="C16" s="131" t="s">
        <v>204</v>
      </c>
      <c r="D16" s="131" t="s">
        <v>221</v>
      </c>
      <c r="E16" s="131"/>
      <c r="F16" s="130"/>
      <c r="G16" s="133"/>
    </row>
    <row r="17" spans="1:7" ht="14.4" x14ac:dyDescent="0.3">
      <c r="A17" s="131" t="s">
        <v>222</v>
      </c>
      <c r="B17" s="131" t="s">
        <v>220</v>
      </c>
      <c r="C17" s="131" t="s">
        <v>223</v>
      </c>
      <c r="D17" s="131"/>
      <c r="E17" s="131"/>
      <c r="F17" s="130"/>
      <c r="G17" s="133"/>
    </row>
    <row r="18" spans="1:7" ht="14.4" x14ac:dyDescent="0.3">
      <c r="A18" s="131" t="s">
        <v>224</v>
      </c>
      <c r="B18" s="131" t="s">
        <v>220</v>
      </c>
      <c r="C18" s="131" t="s">
        <v>223</v>
      </c>
      <c r="D18" s="131"/>
      <c r="E18" s="131"/>
      <c r="F18" s="130"/>
      <c r="G18" s="133"/>
    </row>
    <row r="19" spans="1:7" ht="14.4" x14ac:dyDescent="0.3">
      <c r="A19" s="131" t="s">
        <v>225</v>
      </c>
      <c r="B19" s="131" t="s">
        <v>220</v>
      </c>
      <c r="C19" s="131" t="s">
        <v>223</v>
      </c>
      <c r="D19" s="131"/>
      <c r="E19" s="131"/>
      <c r="F19" s="130"/>
      <c r="G19" s="133"/>
    </row>
    <row r="20" spans="1:7" ht="14.4" x14ac:dyDescent="0.3">
      <c r="A20" s="131" t="s">
        <v>226</v>
      </c>
      <c r="B20" s="131" t="s">
        <v>220</v>
      </c>
      <c r="C20" s="131" t="s">
        <v>223</v>
      </c>
      <c r="D20" s="131"/>
      <c r="E20" s="131"/>
      <c r="F20" s="130"/>
      <c r="G20" s="133"/>
    </row>
    <row r="21" spans="1:7" ht="14.4" x14ac:dyDescent="0.3">
      <c r="A21" s="131" t="s">
        <v>227</v>
      </c>
      <c r="B21" s="131" t="s">
        <v>220</v>
      </c>
      <c r="C21" s="131" t="s">
        <v>223</v>
      </c>
      <c r="D21" s="131"/>
      <c r="E21" s="131"/>
      <c r="F21" s="130"/>
      <c r="G21" s="133"/>
    </row>
    <row r="22" spans="1:7" x14ac:dyDescent="0.25">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20</vt:i4>
      </vt:variant>
    </vt:vector>
  </HeadingPairs>
  <TitlesOfParts>
    <vt:vector size="42"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1a_SpaceHeating (2)</vt:lpstr>
      <vt:lpstr>1b_SpaceCooling (2)</vt:lpstr>
      <vt:lpstr>1c_WaterHeating (2)</vt:lpstr>
      <vt:lpstr>1d_Cooking (2)</vt:lpstr>
      <vt:lpstr>1e_LightingAndAppliances (2)</vt:lpstr>
      <vt:lpstr>1f_OtherEndUses (2)</vt:lpstr>
      <vt:lpstr>Validation</vt:lpstr>
      <vt:lpstr>Parameter_mapping</vt:lpstr>
      <vt:lpstr>Parameters</vt:lpstr>
      <vt:lpstr>'1a_SpaceHeating'!Print_Area</vt:lpstr>
      <vt:lpstr>'1a_SpaceHeating (2)'!Print_Area</vt:lpstr>
      <vt:lpstr>'1b_SpaceCooling'!Print_Area</vt:lpstr>
      <vt:lpstr>'1b_SpaceCooling (2)'!Print_Area</vt:lpstr>
      <vt:lpstr>'1c_WaterHeating'!Print_Area</vt:lpstr>
      <vt:lpstr>'1c_WaterHeating (2)'!Print_Area</vt:lpstr>
      <vt:lpstr>'1d_Cooking'!Print_Area</vt:lpstr>
      <vt:lpstr>'1d_Cooking (2)'!Print_Area</vt:lpstr>
      <vt:lpstr>'1e_LightingAndAppliances'!Print_Area</vt:lpstr>
      <vt:lpstr>'1e_LightingAndAppliances (2)'!Print_Area</vt:lpstr>
      <vt:lpstr>'1f_OtherEndUses'!Print_Area</vt:lpstr>
      <vt:lpstr>'1f_OtherEndUses (2)'!Print_Area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Amadu Epishev</cp:lastModifiedBy>
  <cp:lastPrinted>2017-09-15T13:51:39Z</cp:lastPrinted>
  <dcterms:created xsi:type="dcterms:W3CDTF">2014-09-17T09:30:01Z</dcterms:created>
  <dcterms:modified xsi:type="dcterms:W3CDTF">2024-09-11T11:28:54Z</dcterms:modified>
  <cp:category>Annual questionnaires</cp:category>
</cp:coreProperties>
</file>