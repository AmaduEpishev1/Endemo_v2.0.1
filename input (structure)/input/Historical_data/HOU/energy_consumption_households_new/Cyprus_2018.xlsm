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d18b101b82ebc1c1/Desktop/Endemo2/input (structure)/Historical_data/HOU/energy_consumption_households/"/>
    </mc:Choice>
  </mc:AlternateContent>
  <xr:revisionPtr revIDLastSave="0" documentId="11_09D6DAA9B84544B15DBB56F4A7EA634152A2696A" xr6:coauthVersionLast="47" xr6:coauthVersionMax="47" xr10:uidLastSave="{00000000-0000-0000-0000-000000000000}"/>
  <bookViews>
    <workbookView xWindow="-108" yWindow="-108" windowWidth="23256" windowHeight="12456" tabRatio="872" activeTab="8"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 i="4" l="1"/>
  <c r="L6" i="10"/>
  <c r="L6" i="9"/>
  <c r="L16" i="11"/>
  <c r="L11" i="9" l="1"/>
  <c r="L16" i="8"/>
  <c r="L13" i="8"/>
  <c r="L12" i="8"/>
  <c r="L16" i="6"/>
  <c r="L12" i="6"/>
  <c r="L10" i="9" l="1"/>
  <c r="L10" i="6"/>
  <c r="L10" i="8"/>
  <c r="L15" i="8"/>
  <c r="L14" i="8" s="1"/>
  <c r="L11" i="6"/>
  <c r="L6" i="6"/>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E17" i="5"/>
  <c r="J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2"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6" i="5"/>
  <c r="G14" i="5"/>
  <c r="G16" i="5"/>
  <c r="J15" i="5"/>
  <c r="H11" i="5"/>
  <c r="H8" i="5"/>
  <c r="K9" i="5"/>
  <c r="H18" i="5"/>
  <c r="J11" i="5"/>
  <c r="H7" i="5"/>
  <c r="G6" i="5"/>
  <c r="E11" i="5"/>
  <c r="H14" i="5"/>
  <c r="E18" i="5"/>
  <c r="E14" i="5"/>
  <c r="E9" i="5"/>
  <c r="J16" i="5"/>
  <c r="I6" i="5"/>
  <c r="G9" i="5"/>
  <c r="E12" i="5"/>
  <c r="G15" i="5"/>
  <c r="H15" i="5"/>
  <c r="F6" i="5"/>
  <c r="G10" i="5"/>
  <c r="H12" i="5"/>
  <c r="J13" i="5"/>
  <c r="E16" i="5"/>
  <c r="E7" i="5"/>
  <c r="J18" i="5"/>
  <c r="G13" i="5"/>
  <c r="E6" i="5"/>
  <c r="J6" i="5"/>
  <c r="J10" i="5"/>
  <c r="E8" i="5"/>
  <c r="G11" i="5"/>
  <c r="G12" i="5"/>
  <c r="H6" i="5"/>
  <c r="H9" i="5"/>
  <c r="G8" i="5"/>
  <c r="H10" i="5"/>
  <c r="H13" i="5"/>
  <c r="G18" i="5"/>
  <c r="J9" i="5"/>
  <c r="E15" i="5"/>
  <c r="J12" i="5"/>
  <c r="J7" i="5"/>
  <c r="J8" i="5"/>
  <c r="G7" i="5"/>
  <c r="E13" i="5"/>
  <c r="J14"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<sst xmlns="http://schemas.openxmlformats.org/spreadsheetml/2006/main" count="952" uniqueCount="315">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</sst>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00">
    <xf numFmtId="0" fontId="0" fillId="0" borderId="0" xfId="0"/>
    <xf numFmtId="0" fontId="21" fillId="0" borderId="0" xfId="0" applyFont="1" applyAlignment="1">
      <alignment horizontal="left" vertical="center"/>
    </xf>
    <xf numFmtId="0" fontId="19" fillId="0" borderId="0" xfId="0" applyFont="1" applyAlignment="1">
      <alignment horizontal="center" vertical="center"/>
    </xf>
    <xf numFmtId="0" fontId="22" fillId="0" borderId="0" xfId="0" applyFont="1" applyAlignment="1">
      <alignment horizontal="center" vertical="center"/>
    </xf>
    <xf numFmtId="0" fontId="19" fillId="0" borderId="0" xfId="0" applyFont="1"/>
    <xf numFmtId="0" fontId="22" fillId="0" borderId="0" xfId="0" applyFont="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ill="1" applyBorder="1" applyAlignment="1" applyProtection="1">
      <alignment horizontal="right" vertical="center"/>
      <protection hidden="1"/>
    </xf>
    <xf numFmtId="164" fontId="19" fillId="4" borderId="3" xfId="8"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Alignment="1" applyProtection="1">
      <alignment horizontal="center" vertical="center"/>
      <protection hidden="1"/>
    </xf>
    <xf numFmtId="0" fontId="0" fillId="4" borderId="0" xfId="0" applyFill="1"/>
    <xf numFmtId="0" fontId="23" fillId="0" borderId="0" xfId="0" applyFont="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Alignment="1" applyProtection="1">
      <alignment vertical="center"/>
      <protection hidden="1"/>
    </xf>
    <xf numFmtId="0" fontId="26" fillId="4" borderId="0" xfId="0" applyFont="1" applyFill="1" applyAlignment="1" applyProtection="1">
      <alignment vertical="center"/>
      <protection hidden="1"/>
    </xf>
    <xf numFmtId="0" fontId="27" fillId="4" borderId="0" xfId="1" applyFont="1" applyFill="1" applyBorder="1" applyAlignment="1">
      <alignment vertical="center"/>
      <protection hidden="1"/>
    </xf>
    <xf numFmtId="0" fontId="28" fillId="4" borderId="0" xfId="0" applyFont="1" applyFill="1" applyAlignment="1" applyProtection="1">
      <alignment horizontal="left" vertical="center"/>
      <protection hidden="1"/>
    </xf>
    <xf numFmtId="0" fontId="29" fillId="4" borderId="0" xfId="0" applyFont="1" applyFill="1" applyAlignment="1" applyProtection="1">
      <alignment horizontal="right" vertical="center"/>
      <protection hidden="1"/>
    </xf>
    <xf numFmtId="0" fontId="29"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protection hidden="1"/>
    </xf>
    <xf numFmtId="0" fontId="30" fillId="4" borderId="0" xfId="0" applyFont="1" applyFill="1" applyAlignment="1" applyProtection="1">
      <alignment horizontal="center" vertical="center" wrapText="1"/>
      <protection hidden="1"/>
    </xf>
    <xf numFmtId="164" fontId="19" fillId="4" borderId="5" xfId="8" applyFill="1" applyBorder="1" applyAlignment="1" applyProtection="1">
      <alignment horizontal="right" vertical="center"/>
      <protection hidden="1"/>
    </xf>
    <xf numFmtId="0" fontId="19" fillId="0" borderId="0" xfId="0" applyFont="1" applyAlignment="1">
      <alignment vertical="center"/>
    </xf>
    <xf numFmtId="0" fontId="22" fillId="0" borderId="0" xfId="0" applyFont="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11" fillId="4" borderId="0" xfId="1" applyFont="1" applyFill="1" applyBorder="1" applyAlignment="1">
      <alignment horizontal="right" vertical="center"/>
      <protection hidden="1"/>
    </xf>
    <xf numFmtId="0" fontId="12" fillId="4" borderId="0" xfId="1" applyFont="1" applyFill="1" applyBorder="1" applyAlignment="1">
      <alignment horizontal="left" vertical="center" wrapText="1"/>
      <protection hidden="1"/>
    </xf>
    <xf numFmtId="0" fontId="12" fillId="4" borderId="0" xfId="1" applyFont="1" applyFill="1" applyBorder="1" applyAlignment="1">
      <alignment vertical="center"/>
      <protection hidden="1"/>
    </xf>
    <xf numFmtId="0" fontId="12" fillId="4" borderId="0" xfId="1" quotePrefix="1" applyFont="1" applyFill="1" applyBorder="1" applyAlignment="1">
      <alignment vertical="center"/>
      <protection hidden="1"/>
    </xf>
    <xf numFmtId="0" fontId="25" fillId="5" borderId="11" xfId="0" applyFont="1" applyFill="1" applyBorder="1" applyAlignment="1" applyProtection="1">
      <alignment vertical="center"/>
      <protection hidden="1"/>
    </xf>
    <xf numFmtId="165" fontId="2" fillId="4" borderId="3" xfId="7" applyNumberFormat="1" applyFill="1" applyBorder="1" applyAlignment="1">
      <alignment horizontal="right" vertical="center"/>
    </xf>
    <xf numFmtId="165" fontId="19" fillId="4" borderId="2" xfId="8" applyNumberFormat="1" applyFill="1" applyBorder="1" applyAlignment="1" applyProtection="1">
      <alignment horizontal="right" vertical="center"/>
    </xf>
    <xf numFmtId="165" fontId="2" fillId="4" borderId="2" xfId="7" applyNumberFormat="1" applyFill="1" applyBorder="1" applyAlignment="1">
      <alignment horizontal="right" vertical="center"/>
    </xf>
    <xf numFmtId="165" fontId="19" fillId="4" borderId="3" xfId="8" applyNumberFormat="1" applyFill="1" applyBorder="1" applyAlignment="1" applyProtection="1">
      <alignment horizontal="right" vertical="center"/>
    </xf>
    <xf numFmtId="165" fontId="19" fillId="4" borderId="5" xfId="8" applyNumberFormat="1" applyFill="1" applyBorder="1" applyAlignment="1" applyProtection="1">
      <alignment horizontal="right" vertical="center"/>
    </xf>
    <xf numFmtId="165" fontId="2" fillId="4" borderId="5" xfId="7" applyNumberFormat="1" applyFill="1" applyBorder="1" applyAlignment="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lignment horizontal="right" vertical="center"/>
    </xf>
    <xf numFmtId="0" fontId="0" fillId="0" borderId="20" xfId="0"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ill="1" applyBorder="1" applyAlignment="1" applyProtection="1">
      <alignment horizontal="right" vertical="center"/>
      <protection hidden="1"/>
    </xf>
    <xf numFmtId="164" fontId="19" fillId="7" borderId="3" xfId="8"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lignment horizontal="right" vertical="center"/>
    </xf>
    <xf numFmtId="165" fontId="21" fillId="7" borderId="2" xfId="8" applyNumberFormat="1" applyFont="1" applyFill="1" applyBorder="1" applyAlignment="1" applyProtection="1">
      <alignment horizontal="right" vertical="center"/>
    </xf>
    <xf numFmtId="165" fontId="2" fillId="7" borderId="2" xfId="7" applyNumberFormat="1" applyFill="1" applyBorder="1" applyAlignment="1">
      <alignment horizontal="right" vertical="center"/>
    </xf>
    <xf numFmtId="3" fontId="2" fillId="6" borderId="2" xfId="7" applyNumberFormat="1" applyFill="1" applyBorder="1" applyAlignment="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ill="1" applyBorder="1" applyAlignment="1">
      <alignment horizontal="right" vertical="center"/>
    </xf>
    <xf numFmtId="3" fontId="2" fillId="6" borderId="3" xfId="7" applyNumberFormat="1" applyFill="1" applyBorder="1" applyAlignment="1">
      <alignment horizontal="right" vertical="center"/>
    </xf>
    <xf numFmtId="3" fontId="43" fillId="7" borderId="3" xfId="7" applyNumberFormat="1" applyFont="1" applyFill="1" applyBorder="1" applyAlignment="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lignment horizontal="right" vertical="center"/>
    </xf>
    <xf numFmtId="3" fontId="8" fillId="6" borderId="3" xfId="7" applyNumberFormat="1" applyFont="1" applyFill="1" applyBorder="1" applyAlignment="1">
      <alignment horizontal="right" vertical="center"/>
    </xf>
    <xf numFmtId="3" fontId="8" fillId="5" borderId="3" xfId="7" applyNumberFormat="1" applyFont="1" applyFill="1" applyBorder="1" applyAlignment="1">
      <alignment horizontal="right" vertical="center"/>
    </xf>
    <xf numFmtId="164" fontId="19" fillId="9" borderId="3" xfId="8" applyFill="1" applyBorder="1" applyAlignment="1" applyProtection="1">
      <alignment horizontal="right" vertical="center"/>
      <protection hidden="1"/>
    </xf>
    <xf numFmtId="165" fontId="19" fillId="9" borderId="3" xfId="8" applyNumberFormat="1" applyFill="1" applyBorder="1" applyAlignment="1" applyProtection="1">
      <alignment horizontal="right" vertical="center"/>
    </xf>
    <xf numFmtId="165" fontId="2" fillId="9" borderId="3" xfId="7" applyNumberFormat="1" applyFill="1" applyBorder="1" applyAlignment="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lignment horizontal="right" vertical="center"/>
    </xf>
    <xf numFmtId="0" fontId="5" fillId="12" borderId="27" xfId="10" applyFill="1" applyBorder="1"/>
    <xf numFmtId="0" fontId="5" fillId="0" borderId="0" xfId="10"/>
    <xf numFmtId="0" fontId="5" fillId="0" borderId="27" xfId="10" applyBorder="1"/>
    <xf numFmtId="0" fontId="47" fillId="12" borderId="27" xfId="11" applyFill="1" applyBorder="1"/>
    <xf numFmtId="0" fontId="47" fillId="0" borderId="27" xfId="11" applyBorder="1"/>
    <xf numFmtId="49" fontId="47" fillId="0" borderId="27" xfId="11" applyNumberFormat="1" applyBorder="1" applyAlignment="1">
      <alignment horizontal="center" vertical="center"/>
    </xf>
    <xf numFmtId="0" fontId="47" fillId="0" borderId="27" xfId="11" applyBorder="1" applyAlignment="1">
      <alignment horizontal="center" vertical="center"/>
    </xf>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Border="1" applyAlignment="1">
      <alignment horizontal="center" vertical="center"/>
    </xf>
    <xf numFmtId="0" fontId="0" fillId="0" borderId="27" xfId="11" applyFont="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lignment horizontal="left" vertical="center" wrapText="1"/>
      <protection hidden="1"/>
    </xf>
    <xf numFmtId="0" fontId="26" fillId="4" borderId="0" xfId="0" applyFont="1" applyFill="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ill="1" applyBorder="1" applyAlignment="1" applyProtection="1">
      <alignment horizontal="left" vertical="center"/>
      <protection hidden="1"/>
    </xf>
    <xf numFmtId="0" fontId="19" fillId="0" borderId="2" xfId="0" applyFont="1" applyBorder="1"/>
    <xf numFmtId="0" fontId="22" fillId="8" borderId="3" xfId="0" applyFont="1" applyFill="1" applyBorder="1" applyAlignment="1">
      <alignment vertical="top"/>
    </xf>
    <xf numFmtId="164" fontId="19" fillId="4" borderId="3" xfId="8" applyFill="1" applyBorder="1" applyAlignment="1" applyProtection="1">
      <alignment horizontal="left" vertical="center"/>
      <protection hidden="1"/>
    </xf>
    <xf numFmtId="0" fontId="19" fillId="0" borderId="3" xfId="0" applyFont="1" applyBorder="1"/>
    <xf numFmtId="0" fontId="23" fillId="0" borderId="0" xfId="0" applyFont="1" applyAlignment="1">
      <alignment horizontal="left" vertical="center" wrapText="1"/>
    </xf>
    <xf numFmtId="0" fontId="38" fillId="0" borderId="0" xfId="0" applyFont="1" applyAlignment="1">
      <alignment wrapText="1"/>
    </xf>
    <xf numFmtId="0" fontId="19" fillId="0" borderId="0" xfId="0" applyFont="1" applyAlignment="1">
      <alignment horizontal="left" vertical="center"/>
    </xf>
    <xf numFmtId="0" fontId="0" fillId="0" borderId="0" xfId="0"/>
    <xf numFmtId="0" fontId="39" fillId="0" borderId="0" xfId="0" applyFont="1" applyAlignment="1">
      <alignment horizontal="left" vertical="center"/>
    </xf>
    <xf numFmtId="0" fontId="36" fillId="0" borderId="0" xfId="0" applyFont="1"/>
    <xf numFmtId="0" fontId="19" fillId="0" borderId="0" xfId="0" applyFont="1"/>
    <xf numFmtId="0" fontId="23" fillId="3" borderId="4" xfId="0" applyFont="1" applyFill="1" applyBorder="1" applyAlignment="1">
      <alignment horizontal="center" vertical="center" wrapText="1"/>
    </xf>
    <xf numFmtId="0" fontId="20" fillId="0" borderId="4" xfId="0" applyFont="1" applyBorder="1"/>
    <xf numFmtId="164" fontId="19" fillId="7" borderId="2" xfId="8"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Alignment="1">
      <alignment horizontal="right" vertical="center"/>
    </xf>
    <xf numFmtId="0" fontId="0" fillId="0" borderId="0" xfId="0" applyAlignment="1">
      <alignment horizontal="right" vertical="center"/>
    </xf>
    <xf numFmtId="0" fontId="0" fillId="0" borderId="13" xfId="0" applyBorder="1" applyAlignment="1">
      <alignment horizontal="right" vertical="center"/>
    </xf>
    <xf numFmtId="0" fontId="19" fillId="0" borderId="0" xfId="0" applyFont="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Alignment="1">
      <alignment vertical="top"/>
    </xf>
    <xf numFmtId="0" fontId="22" fillId="8" borderId="29" xfId="0" applyFont="1" applyFill="1" applyBorder="1" applyAlignment="1">
      <alignment vertical="top"/>
    </xf>
    <xf numFmtId="164" fontId="19" fillId="4" borderId="5" xfId="8"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137160</xdr:colOff>
          <xdr:row>26</xdr:row>
          <xdr:rowOff>144780</xdr:rowOff>
        </xdr:from>
        <xdr:to>
          <xdr:col>1</xdr:col>
          <xdr:colOff>1927860</xdr:colOff>
          <xdr:row>28</xdr:row>
          <xdr:rowOff>137160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29</xdr:row>
          <xdr:rowOff>114300</xdr:rowOff>
        </xdr:from>
        <xdr:to>
          <xdr:col>1</xdr:col>
          <xdr:colOff>1927860</xdr:colOff>
          <xdr:row>31</xdr:row>
          <xdr:rowOff>106680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160020</xdr:colOff>
          <xdr:row>26</xdr:row>
          <xdr:rowOff>144780</xdr:rowOff>
        </xdr:from>
        <xdr:to>
          <xdr:col>3</xdr:col>
          <xdr:colOff>1950720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24</xdr:row>
          <xdr:rowOff>7620</xdr:rowOff>
        </xdr:from>
        <xdr:to>
          <xdr:col>2</xdr:col>
          <xdr:colOff>1935480</xdr:colOff>
          <xdr:row>25</xdr:row>
          <xdr:rowOff>137160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182880</xdr:colOff>
          <xdr:row>29</xdr:row>
          <xdr:rowOff>114300</xdr:rowOff>
        </xdr:from>
        <xdr:to>
          <xdr:col>3</xdr:col>
          <xdr:colOff>1950720</xdr:colOff>
          <xdr:row>31</xdr:row>
          <xdr:rowOff>83820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32</xdr:row>
          <xdr:rowOff>106680</xdr:rowOff>
        </xdr:from>
        <xdr:to>
          <xdr:col>2</xdr:col>
          <xdr:colOff>1935480</xdr:colOff>
          <xdr:row>34</xdr:row>
          <xdr:rowOff>83820</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24</xdr:row>
          <xdr:rowOff>7620</xdr:rowOff>
        </xdr:from>
        <xdr:to>
          <xdr:col>1</xdr:col>
          <xdr:colOff>1927860</xdr:colOff>
          <xdr:row>25</xdr:row>
          <xdr:rowOff>137160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160020</xdr:colOff>
          <xdr:row>24</xdr:row>
          <xdr:rowOff>7620</xdr:rowOff>
        </xdr:from>
        <xdr:to>
          <xdr:col>3</xdr:col>
          <xdr:colOff>1950720</xdr:colOff>
          <xdr:row>25</xdr:row>
          <xdr:rowOff>137160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26</xdr:row>
          <xdr:rowOff>144780</xdr:rowOff>
        </xdr:from>
        <xdr:to>
          <xdr:col>2</xdr:col>
          <xdr:colOff>1927860</xdr:colOff>
          <xdr:row>28</xdr:row>
          <xdr:rowOff>137160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137160</xdr:colOff>
          <xdr:row>29</xdr:row>
          <xdr:rowOff>114300</xdr:rowOff>
        </xdr:from>
        <xdr:to>
          <xdr:col>2</xdr:col>
          <xdr:colOff>1927860</xdr:colOff>
          <xdr:row>31</xdr:row>
          <xdr:rowOff>83820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Water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32</xdr:row>
          <xdr:rowOff>45720</xdr:rowOff>
        </xdr:from>
        <xdr:to>
          <xdr:col>1</xdr:col>
          <xdr:colOff>1927860</xdr:colOff>
          <xdr:row>34</xdr:row>
          <xdr:rowOff>114300</xdr:rowOff>
        </xdr:to>
        <xdr:sp macro="" textlink="">
          <xdr:nvSpPr>
            <xdr:cNvPr id="3192" name="Button 120"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175260</xdr:colOff>
          <xdr:row>32</xdr:row>
          <xdr:rowOff>99060</xdr:rowOff>
        </xdr:from>
        <xdr:to>
          <xdr:col>3</xdr:col>
          <xdr:colOff>1973580</xdr:colOff>
          <xdr:row>34</xdr:row>
          <xdr:rowOff>76200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100" b="1" i="1" u="none" strike="noStrike" baseline="0">
                  <a:solidFill>
                    <a:srgbClr val="000000"/>
                  </a:solidFill>
                  <a:latin typeface="Calibri"/>
                  <a:ea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8260080</xdr:colOff>
          <xdr:row>1</xdr:row>
          <xdr:rowOff>7620</xdr:rowOff>
        </xdr:from>
        <xdr:to>
          <xdr:col>2</xdr:col>
          <xdr:colOff>9906000</xdr:colOff>
          <xdr:row>1</xdr:row>
          <xdr:rowOff>487680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30480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18</xdr:row>
          <xdr:rowOff>38100</xdr:rowOff>
        </xdr:from>
        <xdr:to>
          <xdr:col>1</xdr:col>
          <xdr:colOff>1028700</xdr:colOff>
          <xdr:row>21</xdr:row>
          <xdr:rowOff>22860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19</xdr:row>
          <xdr:rowOff>38100</xdr:rowOff>
        </xdr:from>
        <xdr:to>
          <xdr:col>1</xdr:col>
          <xdr:colOff>1028700</xdr:colOff>
          <xdr:row>22</xdr:row>
          <xdr:rowOff>22860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30480</xdr:rowOff>
        </xdr:from>
        <xdr:to>
          <xdr:col>1</xdr:col>
          <xdr:colOff>1028700</xdr:colOff>
          <xdr:row>21</xdr:row>
          <xdr:rowOff>22860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6</xdr:row>
          <xdr:rowOff>7620</xdr:rowOff>
        </xdr:from>
        <xdr:to>
          <xdr:col>1</xdr:col>
          <xdr:colOff>1021080</xdr:colOff>
          <xdr:row>9</xdr:row>
          <xdr:rowOff>7620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1028700</xdr:colOff>
          <xdr:row>21</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182880</xdr:rowOff>
        </xdr:from>
        <xdr:to>
          <xdr:col>3</xdr:col>
          <xdr:colOff>160020</xdr:colOff>
          <xdr:row>3</xdr:row>
          <xdr:rowOff>7620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22860</xdr:rowOff>
        </xdr:from>
        <xdr:to>
          <xdr:col>4</xdr:col>
          <xdr:colOff>175260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DE" sz="1200" b="1" i="0" u="none" strike="noStrike" baseline="0">
                  <a:solidFill>
                    <a:srgbClr val="000000"/>
                  </a:solidFill>
                  <a:latin typeface="Calibri"/>
                  <a:ea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14" zoomScale="90" zoomScaleNormal="90" workbookViewId="0">
      <selection activeCell="C23" sqref="C23:D23"/>
    </sheetView>
  </sheetViews>
  <sheetFormatPr defaultColWidth="9.109375" defaultRowHeight="14.4" x14ac:dyDescent="0.3"/>
  <cols>
    <col min="1" max="1" width="15.5546875" style="19" customWidth="1"/>
    <col min="2" max="3" width="30.6640625" style="19" customWidth="1"/>
    <col min="4" max="4" width="42.5546875" style="19" customWidth="1"/>
    <col min="5" max="5" width="15.5546875" style="19" customWidth="1"/>
    <col min="6" max="6" width="24.6640625" style="19" customWidth="1"/>
    <col min="7" max="16384" width="9.109375" style="19"/>
  </cols>
  <sheetData>
    <row r="1" spans="1:5" ht="9" customHeight="1" x14ac:dyDescent="0.3"/>
    <row r="2" spans="1:5" ht="9" customHeight="1" x14ac:dyDescent="0.3"/>
    <row r="3" spans="1:5" ht="9" customHeight="1" x14ac:dyDescent="0.3"/>
    <row r="4" spans="1:5" ht="9" customHeight="1" x14ac:dyDescent="0.3"/>
    <row r="8" spans="1:5" ht="9" customHeight="1" x14ac:dyDescent="0.3"/>
    <row r="9" spans="1:5" ht="9" customHeight="1" x14ac:dyDescent="0.3"/>
    <row r="10" spans="1:5" ht="9" customHeight="1" x14ac:dyDescent="0.3"/>
    <row r="11" spans="1:5" ht="45" customHeight="1" x14ac:dyDescent="0.3">
      <c r="A11" s="23"/>
      <c r="B11" s="23"/>
      <c r="C11" s="18" t="s">
        <v>143</v>
      </c>
      <c r="D11" s="23"/>
      <c r="E11" s="23"/>
    </row>
    <row r="12" spans="1:5" x14ac:dyDescent="0.3">
      <c r="A12" s="23"/>
      <c r="B12" s="23"/>
      <c r="C12" s="23"/>
      <c r="D12" s="23"/>
      <c r="E12" s="23"/>
    </row>
    <row r="13" spans="1:5" ht="45" customHeight="1" x14ac:dyDescent="0.3">
      <c r="A13" s="141" t="s">
        <v>144</v>
      </c>
      <c r="B13" s="141"/>
      <c r="C13" s="141"/>
      <c r="D13" s="141"/>
      <c r="E13" s="141"/>
    </row>
    <row r="14" spans="1:5" ht="15" customHeight="1" thickBot="1" x14ac:dyDescent="0.35">
      <c r="A14" s="23"/>
      <c r="B14" s="24"/>
      <c r="C14" s="24"/>
      <c r="D14" s="24"/>
      <c r="E14" s="24"/>
    </row>
    <row r="15" spans="1:5" ht="21" customHeight="1" thickBot="1" x14ac:dyDescent="0.35">
      <c r="A15" s="23"/>
      <c r="B15" s="23"/>
      <c r="C15" s="49" t="s">
        <v>32</v>
      </c>
      <c r="D15" s="53" t="s">
        <v>58</v>
      </c>
      <c r="E15" s="25"/>
    </row>
    <row r="16" spans="1:5" ht="9" customHeight="1" x14ac:dyDescent="0.3">
      <c r="A16" s="23"/>
      <c r="B16" s="24"/>
      <c r="C16" s="24"/>
      <c r="D16" s="24"/>
      <c r="E16" s="24"/>
    </row>
    <row r="17" spans="1:5" ht="21" customHeight="1" x14ac:dyDescent="0.3">
      <c r="A17" s="26" t="s">
        <v>33</v>
      </c>
      <c r="B17" s="24"/>
      <c r="C17" s="23"/>
      <c r="D17" s="24"/>
      <c r="E17" s="24"/>
    </row>
    <row r="18" spans="1:5" ht="15" customHeight="1" thickBot="1" x14ac:dyDescent="0.35">
      <c r="A18" s="23"/>
      <c r="B18" s="24"/>
      <c r="C18" s="26"/>
      <c r="D18" s="24"/>
      <c r="E18" s="24"/>
    </row>
    <row r="19" spans="1:5" ht="21" customHeight="1" thickBot="1" x14ac:dyDescent="0.35">
      <c r="A19" s="23"/>
      <c r="B19" s="27" t="s">
        <v>34</v>
      </c>
      <c r="C19" s="142"/>
      <c r="D19" s="143"/>
      <c r="E19" s="23"/>
    </row>
    <row r="20" spans="1:5" ht="15" customHeight="1" thickBot="1" x14ac:dyDescent="0.35">
      <c r="A20" s="23"/>
      <c r="B20" s="27"/>
      <c r="C20" s="24"/>
      <c r="D20" s="24"/>
      <c r="E20" s="23"/>
    </row>
    <row r="21" spans="1:5" ht="21" customHeight="1" thickBot="1" x14ac:dyDescent="0.35">
      <c r="A21" s="23"/>
      <c r="B21" s="27" t="s">
        <v>35</v>
      </c>
      <c r="C21" s="144"/>
      <c r="D21" s="143"/>
      <c r="E21" s="23"/>
    </row>
    <row r="22" spans="1:5" ht="15" customHeight="1" thickBot="1" x14ac:dyDescent="0.35">
      <c r="A22" s="23"/>
      <c r="B22" s="27"/>
      <c r="C22" s="24"/>
      <c r="D22" s="24"/>
      <c r="E22" s="23"/>
    </row>
    <row r="23" spans="1:5" ht="21" customHeight="1" thickBot="1" x14ac:dyDescent="0.35">
      <c r="A23" s="23"/>
      <c r="B23" s="27" t="s">
        <v>36</v>
      </c>
      <c r="C23" s="142"/>
      <c r="D23" s="143"/>
      <c r="E23" s="23"/>
    </row>
    <row r="24" spans="1:5" ht="21" customHeight="1" x14ac:dyDescent="0.3">
      <c r="A24" s="23"/>
      <c r="B24" s="24"/>
      <c r="C24" s="24"/>
      <c r="D24" s="23"/>
      <c r="E24" s="23"/>
    </row>
    <row r="25" spans="1:5" ht="30" customHeight="1" x14ac:dyDescent="0.3">
      <c r="A25" s="23"/>
      <c r="B25" s="29"/>
      <c r="C25" s="29"/>
      <c r="D25" s="29"/>
      <c r="E25" s="23"/>
    </row>
    <row r="26" spans="1:5" ht="12" customHeight="1" x14ac:dyDescent="0.3">
      <c r="A26" s="23"/>
      <c r="B26" s="29"/>
      <c r="C26" s="29"/>
      <c r="D26" s="29"/>
      <c r="E26" s="23"/>
    </row>
    <row r="27" spans="1:5" ht="12" customHeight="1" x14ac:dyDescent="0.3">
      <c r="A27" s="23"/>
      <c r="B27" s="29"/>
      <c r="C27" s="29"/>
      <c r="D27" s="29"/>
      <c r="E27" s="23"/>
    </row>
    <row r="28" spans="1:5" ht="30" customHeight="1" x14ac:dyDescent="0.3">
      <c r="A28" s="23"/>
      <c r="B28" s="28"/>
      <c r="C28" s="29"/>
      <c r="D28" s="30"/>
      <c r="E28" s="23"/>
    </row>
    <row r="29" spans="1:5" ht="12" customHeight="1" x14ac:dyDescent="0.3">
      <c r="A29" s="23"/>
      <c r="B29" s="29"/>
      <c r="C29" s="29"/>
      <c r="D29" s="29"/>
      <c r="E29" s="23"/>
    </row>
    <row r="30" spans="1:5" ht="12" customHeight="1" x14ac:dyDescent="0.3">
      <c r="A30" s="23"/>
      <c r="B30" s="29"/>
      <c r="C30" s="29"/>
      <c r="D30" s="29"/>
      <c r="E30" s="23"/>
    </row>
    <row r="31" spans="1:5" ht="30" customHeight="1" x14ac:dyDescent="0.3">
      <c r="A31" s="23"/>
      <c r="B31" s="29"/>
      <c r="C31" s="29"/>
      <c r="D31" s="29"/>
      <c r="E31" s="23"/>
    </row>
    <row r="32" spans="1:5" ht="12" customHeight="1" x14ac:dyDescent="0.3">
      <c r="A32" s="23"/>
      <c r="B32" s="29"/>
      <c r="C32" s="29"/>
      <c r="D32" s="29"/>
      <c r="E32" s="23"/>
    </row>
    <row r="33" spans="1:5" ht="12" customHeight="1" x14ac:dyDescent="0.3">
      <c r="A33" s="23"/>
      <c r="B33" s="29"/>
      <c r="C33" s="29"/>
      <c r="D33" s="29"/>
      <c r="E33" s="23"/>
    </row>
    <row r="34" spans="1:5" ht="24" customHeight="1" x14ac:dyDescent="0.3">
      <c r="A34" s="23"/>
      <c r="B34" s="29"/>
      <c r="C34" s="29"/>
      <c r="D34" s="29"/>
      <c r="E34" s="22"/>
    </row>
    <row r="35" spans="1:5" ht="12" customHeight="1" x14ac:dyDescent="0.3">
      <c r="A35" s="23"/>
      <c r="B35" s="29"/>
      <c r="C35" s="29"/>
      <c r="D35" s="29"/>
      <c r="E35" s="23"/>
    </row>
    <row r="36" spans="1:5" ht="21" customHeight="1" x14ac:dyDescent="0.3">
      <c r="A36" s="23"/>
      <c r="B36" s="23"/>
      <c r="C36" s="24"/>
      <c r="D36" s="24"/>
      <c r="E36" s="23"/>
    </row>
    <row r="37" spans="1:5" ht="45" customHeight="1" x14ac:dyDescent="0.3">
      <c r="A37" s="140" t="s">
        <v>142</v>
      </c>
      <c r="B37" s="140"/>
      <c r="C37" s="140"/>
      <c r="D37" s="140"/>
      <c r="E37" s="140"/>
    </row>
    <row r="38" spans="1:5" ht="15" customHeight="1" x14ac:dyDescent="0.3">
      <c r="A38" s="50"/>
      <c r="B38" s="50"/>
      <c r="C38" s="50"/>
      <c r="D38" s="50"/>
      <c r="E38" s="50"/>
    </row>
    <row r="39" spans="1:5" ht="21" customHeight="1" x14ac:dyDescent="0.3">
      <c r="A39" s="140" t="s">
        <v>39</v>
      </c>
      <c r="B39" s="140"/>
      <c r="C39" s="140"/>
      <c r="D39" s="140"/>
      <c r="E39" s="140"/>
    </row>
    <row r="40" spans="1:5" ht="45" customHeight="1" x14ac:dyDescent="0.3">
      <c r="A40" s="140" t="s">
        <v>148</v>
      </c>
      <c r="B40" s="140"/>
      <c r="C40" s="140"/>
      <c r="D40" s="140"/>
      <c r="E40" s="140"/>
    </row>
    <row r="41" spans="1:5" ht="21" customHeight="1" x14ac:dyDescent="0.3">
      <c r="A41" s="50"/>
      <c r="B41" s="49" t="s">
        <v>34</v>
      </c>
      <c r="C41" s="51" t="s">
        <v>40</v>
      </c>
      <c r="D41" s="51"/>
      <c r="E41" s="51"/>
    </row>
    <row r="42" spans="1:5" ht="21" customHeight="1" x14ac:dyDescent="0.3">
      <c r="A42" s="50"/>
      <c r="B42" s="49" t="s">
        <v>37</v>
      </c>
      <c r="C42" s="139" t="s">
        <v>314</v>
      </c>
      <c r="D42" s="51"/>
      <c r="E42" s="51"/>
    </row>
    <row r="43" spans="1:5" ht="21" customHeight="1" x14ac:dyDescent="0.3">
      <c r="A43" s="50"/>
      <c r="B43" s="49" t="s">
        <v>38</v>
      </c>
      <c r="C43" s="52" t="s">
        <v>41</v>
      </c>
      <c r="D43" s="51"/>
      <c r="E43" s="51"/>
    </row>
    <row r="44" spans="1:5" ht="21" customHeight="1" x14ac:dyDescent="0.3"/>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4"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137160</xdr:colOff>
                    <xdr:row>26</xdr:row>
                    <xdr:rowOff>144780</xdr:rowOff>
                  </from>
                  <to>
                    <xdr:col>1</xdr:col>
                    <xdr:colOff>1927860</xdr:colOff>
                    <xdr:row>28</xdr:row>
                    <xdr:rowOff>137160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137160</xdr:colOff>
                    <xdr:row>29</xdr:row>
                    <xdr:rowOff>114300</xdr:rowOff>
                  </from>
                  <to>
                    <xdr:col>1</xdr:col>
                    <xdr:colOff>1927860</xdr:colOff>
                    <xdr:row>31</xdr:row>
                    <xdr:rowOff>106680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160020</xdr:colOff>
                    <xdr:row>26</xdr:row>
                    <xdr:rowOff>144780</xdr:rowOff>
                  </from>
                  <to>
                    <xdr:col>3</xdr:col>
                    <xdr:colOff>1950720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137160</xdr:colOff>
                    <xdr:row>24</xdr:row>
                    <xdr:rowOff>7620</xdr:rowOff>
                  </from>
                  <to>
                    <xdr:col>2</xdr:col>
                    <xdr:colOff>1935480</xdr:colOff>
                    <xdr:row>25</xdr:row>
                    <xdr:rowOff>137160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182880</xdr:colOff>
                    <xdr:row>29</xdr:row>
                    <xdr:rowOff>114300</xdr:rowOff>
                  </from>
                  <to>
                    <xdr:col>3</xdr:col>
                    <xdr:colOff>1950720</xdr:colOff>
                    <xdr:row>31</xdr:row>
                    <xdr:rowOff>83820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137160</xdr:colOff>
                    <xdr:row>32</xdr:row>
                    <xdr:rowOff>106680</xdr:rowOff>
                  </from>
                  <to>
                    <xdr:col>2</xdr:col>
                    <xdr:colOff>1935480</xdr:colOff>
                    <xdr:row>34</xdr:row>
                    <xdr:rowOff>83820</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137160</xdr:colOff>
                    <xdr:row>24</xdr:row>
                    <xdr:rowOff>7620</xdr:rowOff>
                  </from>
                  <to>
                    <xdr:col>1</xdr:col>
                    <xdr:colOff>1927860</xdr:colOff>
                    <xdr:row>25</xdr:row>
                    <xdr:rowOff>137160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160020</xdr:colOff>
                    <xdr:row>24</xdr:row>
                    <xdr:rowOff>7620</xdr:rowOff>
                  </from>
                  <to>
                    <xdr:col>3</xdr:col>
                    <xdr:colOff>1950720</xdr:colOff>
                    <xdr:row>25</xdr:row>
                    <xdr:rowOff>137160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137160</xdr:colOff>
                    <xdr:row>26</xdr:row>
                    <xdr:rowOff>144780</xdr:rowOff>
                  </from>
                  <to>
                    <xdr:col>2</xdr:col>
                    <xdr:colOff>1927860</xdr:colOff>
                    <xdr:row>28</xdr:row>
                    <xdr:rowOff>137160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137160</xdr:colOff>
                    <xdr:row>29</xdr:row>
                    <xdr:rowOff>114300</xdr:rowOff>
                  </from>
                  <to>
                    <xdr:col>2</xdr:col>
                    <xdr:colOff>1927860</xdr:colOff>
                    <xdr:row>31</xdr:row>
                    <xdr:rowOff>83820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137160</xdr:colOff>
                    <xdr:row>32</xdr:row>
                    <xdr:rowOff>45720</xdr:rowOff>
                  </from>
                  <to>
                    <xdr:col>1</xdr:col>
                    <xdr:colOff>1927860</xdr:colOff>
                    <xdr:row>34</xdr:row>
                    <xdr:rowOff>114300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175260</xdr:colOff>
                    <xdr:row>32</xdr:row>
                    <xdr:rowOff>99060</xdr:rowOff>
                  </from>
                  <to>
                    <xdr:col>3</xdr:col>
                    <xdr:colOff>1973580</xdr:colOff>
                    <xdr:row>34</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topLeftCell="A48" zoomScale="90" zoomScaleNormal="90" workbookViewId="0">
      <selection activeCell="A67" sqref="A67:XFD67"/>
    </sheetView>
  </sheetViews>
  <sheetFormatPr defaultColWidth="9.109375" defaultRowHeight="14.4" x14ac:dyDescent="0.3"/>
  <cols>
    <col min="1" max="1" width="3.6640625" style="19" customWidth="1"/>
    <col min="2" max="2" width="48.6640625" style="19" customWidth="1"/>
    <col min="3" max="3" width="148.6640625" style="19" customWidth="1"/>
    <col min="4" max="4" width="3.6640625" style="19" customWidth="1"/>
    <col min="5" max="16384" width="9.109375" style="19"/>
  </cols>
  <sheetData>
    <row r="1" spans="2:3" ht="9" customHeight="1" x14ac:dyDescent="0.3"/>
    <row r="2" spans="2:3" ht="39" customHeight="1" x14ac:dyDescent="0.3">
      <c r="B2" s="145" t="s">
        <v>145</v>
      </c>
      <c r="C2" s="146"/>
    </row>
    <row r="3" spans="2:3" ht="9.75" customHeight="1" x14ac:dyDescent="0.3">
      <c r="B3" s="60"/>
      <c r="C3" s="61"/>
    </row>
    <row r="4" spans="2:3" ht="36" customHeight="1" x14ac:dyDescent="0.3">
      <c r="B4" s="147" t="s">
        <v>82</v>
      </c>
      <c r="C4" s="62" t="s">
        <v>83</v>
      </c>
    </row>
    <row r="5" spans="2:3" ht="36" customHeight="1" x14ac:dyDescent="0.3">
      <c r="B5" s="148"/>
      <c r="C5" s="63" t="s">
        <v>134</v>
      </c>
    </row>
    <row r="6" spans="2:3" ht="36" customHeight="1" x14ac:dyDescent="0.3">
      <c r="B6" s="148"/>
      <c r="C6" s="63" t="s">
        <v>146</v>
      </c>
    </row>
    <row r="7" spans="2:3" ht="45" customHeight="1" x14ac:dyDescent="0.3">
      <c r="B7" s="149"/>
      <c r="C7" s="64" t="s">
        <v>84</v>
      </c>
    </row>
    <row r="8" spans="2:3" ht="9.75" customHeight="1" x14ac:dyDescent="0.3">
      <c r="B8" s="65"/>
      <c r="C8" s="66"/>
    </row>
    <row r="9" spans="2:3" ht="30" customHeight="1" x14ac:dyDescent="0.3">
      <c r="B9" s="67" t="s">
        <v>112</v>
      </c>
      <c r="C9" s="68"/>
    </row>
    <row r="10" spans="2:3" ht="9" customHeight="1" x14ac:dyDescent="0.3">
      <c r="B10" s="69"/>
      <c r="C10" s="63"/>
    </row>
    <row r="11" spans="2:3" ht="30" customHeight="1" x14ac:dyDescent="0.3">
      <c r="B11" s="70" t="s">
        <v>13</v>
      </c>
      <c r="C11" s="63" t="s">
        <v>147</v>
      </c>
    </row>
    <row r="12" spans="2:3" ht="15" customHeight="1" x14ac:dyDescent="0.3">
      <c r="B12" s="69"/>
      <c r="C12" s="63"/>
    </row>
    <row r="13" spans="2:3" ht="60" customHeight="1" x14ac:dyDescent="0.3">
      <c r="B13" s="70" t="s">
        <v>15</v>
      </c>
      <c r="C13" s="63" t="s">
        <v>136</v>
      </c>
    </row>
    <row r="14" spans="2:3" ht="15" customHeight="1" x14ac:dyDescent="0.3">
      <c r="B14" s="69"/>
      <c r="C14" s="63"/>
    </row>
    <row r="15" spans="2:3" ht="45" customHeight="1" x14ac:dyDescent="0.3">
      <c r="B15" s="150" t="s">
        <v>29</v>
      </c>
      <c r="C15" s="63" t="s">
        <v>312</v>
      </c>
    </row>
    <row r="16" spans="2:3" ht="63" customHeight="1" x14ac:dyDescent="0.3">
      <c r="B16" s="151"/>
      <c r="C16" s="63" t="s">
        <v>310</v>
      </c>
    </row>
    <row r="17" spans="2:3" ht="30" hidden="1" customHeight="1" x14ac:dyDescent="0.3">
      <c r="B17" s="69"/>
      <c r="C17" s="63" t="s">
        <v>120</v>
      </c>
    </row>
    <row r="18" spans="2:3" ht="63" hidden="1" customHeight="1" x14ac:dyDescent="0.3">
      <c r="B18" s="69"/>
      <c r="C18" s="63" t="s">
        <v>121</v>
      </c>
    </row>
    <row r="19" spans="2:3" ht="135" hidden="1" customHeight="1" x14ac:dyDescent="0.3">
      <c r="B19" s="69"/>
      <c r="C19" s="63" t="s">
        <v>122</v>
      </c>
    </row>
    <row r="20" spans="2:3" ht="60" hidden="1" customHeight="1" x14ac:dyDescent="0.3">
      <c r="B20" s="69"/>
      <c r="C20" s="63" t="s">
        <v>123</v>
      </c>
    </row>
    <row r="21" spans="2:3" ht="15" customHeight="1" x14ac:dyDescent="0.3">
      <c r="B21" s="69"/>
      <c r="C21" s="63"/>
    </row>
    <row r="22" spans="2:3" ht="30" customHeight="1" x14ac:dyDescent="0.3">
      <c r="B22" s="70" t="s">
        <v>156</v>
      </c>
      <c r="C22" s="63" t="s">
        <v>309</v>
      </c>
    </row>
    <row r="23" spans="2:3" ht="15" customHeight="1" x14ac:dyDescent="0.3">
      <c r="B23" s="69"/>
      <c r="C23" s="63"/>
    </row>
    <row r="24" spans="2:3" ht="75" customHeight="1" x14ac:dyDescent="0.3">
      <c r="B24" s="70" t="s">
        <v>110</v>
      </c>
      <c r="C24" s="63" t="s">
        <v>313</v>
      </c>
    </row>
    <row r="25" spans="2:3" ht="9" customHeight="1" x14ac:dyDescent="0.3">
      <c r="B25" s="71"/>
      <c r="C25" s="63"/>
    </row>
    <row r="26" spans="2:3" ht="15" customHeight="1" x14ac:dyDescent="0.3">
      <c r="B26" s="72" t="s">
        <v>124</v>
      </c>
      <c r="C26" s="63"/>
    </row>
    <row r="27" spans="2:3" ht="60" customHeight="1" x14ac:dyDescent="0.3">
      <c r="B27" s="69" t="s">
        <v>113</v>
      </c>
      <c r="C27" s="63" t="s">
        <v>308</v>
      </c>
    </row>
    <row r="28" spans="2:3" ht="9" customHeight="1" x14ac:dyDescent="0.3">
      <c r="B28" s="69"/>
      <c r="C28" s="63"/>
    </row>
    <row r="29" spans="2:3" ht="30" customHeight="1" x14ac:dyDescent="0.3">
      <c r="B29" s="69" t="s">
        <v>114</v>
      </c>
      <c r="C29" s="63" t="s">
        <v>137</v>
      </c>
    </row>
    <row r="30" spans="2:3" ht="9" customHeight="1" x14ac:dyDescent="0.3">
      <c r="B30" s="69"/>
      <c r="C30" s="63"/>
    </row>
    <row r="31" spans="2:3" ht="105" customHeight="1" x14ac:dyDescent="0.3">
      <c r="B31" s="152" t="s">
        <v>115</v>
      </c>
      <c r="C31" s="63" t="s">
        <v>311</v>
      </c>
    </row>
    <row r="32" spans="2:3" ht="105" customHeight="1" x14ac:dyDescent="0.3">
      <c r="B32" s="153"/>
      <c r="C32" s="63" t="s">
        <v>119</v>
      </c>
    </row>
    <row r="33" spans="1:3" ht="15" customHeight="1" x14ac:dyDescent="0.3">
      <c r="B33" s="69"/>
      <c r="C33" s="63"/>
    </row>
    <row r="34" spans="1:3" ht="30" customHeight="1" x14ac:dyDescent="0.3">
      <c r="B34" s="72" t="s">
        <v>129</v>
      </c>
      <c r="C34" s="63" t="s">
        <v>130</v>
      </c>
    </row>
    <row r="35" spans="1:3" ht="15" customHeight="1" x14ac:dyDescent="0.3">
      <c r="B35" s="69"/>
      <c r="C35" s="63"/>
    </row>
    <row r="36" spans="1:3" ht="18" customHeight="1" x14ac:dyDescent="0.3">
      <c r="B36" s="70" t="s">
        <v>111</v>
      </c>
      <c r="C36" s="63" t="s">
        <v>125</v>
      </c>
    </row>
    <row r="37" spans="1:3" ht="9" customHeight="1" x14ac:dyDescent="0.3">
      <c r="B37" s="71"/>
      <c r="C37" s="63"/>
    </row>
    <row r="38" spans="1:3" ht="15" customHeight="1" x14ac:dyDescent="0.3">
      <c r="B38" s="72" t="s">
        <v>124</v>
      </c>
      <c r="C38" s="63"/>
    </row>
    <row r="39" spans="1:3" ht="30" customHeight="1" x14ac:dyDescent="0.3">
      <c r="B39" s="69" t="s">
        <v>116</v>
      </c>
      <c r="C39" s="63" t="s">
        <v>126</v>
      </c>
    </row>
    <row r="40" spans="1:3" ht="9" customHeight="1" x14ac:dyDescent="0.3">
      <c r="B40" s="69"/>
      <c r="C40" s="63"/>
    </row>
    <row r="41" spans="1:3" ht="30" customHeight="1" x14ac:dyDescent="0.3">
      <c r="B41" s="152" t="s">
        <v>117</v>
      </c>
      <c r="C41" s="63" t="s">
        <v>127</v>
      </c>
    </row>
    <row r="42" spans="1:3" ht="59.25" customHeight="1" x14ac:dyDescent="0.3">
      <c r="B42" s="153"/>
      <c r="C42" s="63" t="s">
        <v>172</v>
      </c>
    </row>
    <row r="43" spans="1:3" ht="9" customHeight="1" x14ac:dyDescent="0.3">
      <c r="A43" s="43"/>
      <c r="B43" s="69"/>
      <c r="C43" s="63"/>
    </row>
    <row r="44" spans="1:3" ht="90" customHeight="1" x14ac:dyDescent="0.3">
      <c r="B44" s="69" t="s">
        <v>118</v>
      </c>
      <c r="C44" s="63" t="s">
        <v>128</v>
      </c>
    </row>
    <row r="45" spans="1:3" ht="14.25" customHeight="1" x14ac:dyDescent="0.3">
      <c r="B45" s="69"/>
      <c r="C45" s="63"/>
    </row>
    <row r="46" spans="1:3" ht="42" customHeight="1" x14ac:dyDescent="0.3">
      <c r="B46" s="69" t="s">
        <v>184</v>
      </c>
      <c r="C46" s="63" t="s">
        <v>186</v>
      </c>
    </row>
    <row r="47" spans="1:3" ht="15" customHeight="1" x14ac:dyDescent="0.3">
      <c r="B47" s="69"/>
      <c r="C47" s="63"/>
    </row>
    <row r="48" spans="1:3" ht="30" customHeight="1" x14ac:dyDescent="0.3">
      <c r="B48" s="72" t="s">
        <v>129</v>
      </c>
      <c r="C48" s="63" t="s">
        <v>131</v>
      </c>
    </row>
    <row r="49" spans="2:3" ht="18" customHeight="1" x14ac:dyDescent="0.3">
      <c r="B49" s="73"/>
      <c r="C49" s="64"/>
    </row>
    <row r="50" spans="2:3" ht="9" customHeight="1" x14ac:dyDescent="0.3">
      <c r="B50" s="74"/>
      <c r="C50" s="74"/>
    </row>
    <row r="51" spans="2:3" ht="36" customHeight="1" x14ac:dyDescent="0.3">
      <c r="B51" s="75" t="s">
        <v>85</v>
      </c>
      <c r="C51" s="68"/>
    </row>
    <row r="52" spans="2:3" ht="24" customHeight="1" x14ac:dyDescent="0.3">
      <c r="B52" s="76" t="s">
        <v>86</v>
      </c>
      <c r="C52" s="63"/>
    </row>
    <row r="53" spans="2:3" ht="12" customHeight="1" x14ac:dyDescent="0.3">
      <c r="B53" s="77"/>
      <c r="C53" s="63"/>
    </row>
    <row r="54" spans="2:3" x14ac:dyDescent="0.3">
      <c r="B54" s="71" t="s">
        <v>93</v>
      </c>
      <c r="C54" s="63" t="s">
        <v>87</v>
      </c>
    </row>
    <row r="55" spans="2:3" ht="12" customHeight="1" x14ac:dyDescent="0.3">
      <c r="B55" s="77"/>
      <c r="C55" s="63"/>
    </row>
    <row r="56" spans="2:3" x14ac:dyDescent="0.3">
      <c r="B56" s="71" t="s">
        <v>94</v>
      </c>
      <c r="C56" s="63" t="s">
        <v>180</v>
      </c>
    </row>
    <row r="57" spans="2:3" x14ac:dyDescent="0.3">
      <c r="B57" s="77"/>
      <c r="C57" s="63" t="s">
        <v>88</v>
      </c>
    </row>
    <row r="58" spans="2:3" ht="12" customHeight="1" x14ac:dyDescent="0.3">
      <c r="B58" s="77"/>
      <c r="C58" s="63"/>
    </row>
    <row r="59" spans="2:3" x14ac:dyDescent="0.3">
      <c r="B59" s="71" t="s">
        <v>95</v>
      </c>
      <c r="C59" s="63" t="s">
        <v>181</v>
      </c>
    </row>
    <row r="60" spans="2:3" x14ac:dyDescent="0.3">
      <c r="B60" s="77"/>
      <c r="C60" s="63" t="s">
        <v>89</v>
      </c>
    </row>
    <row r="61" spans="2:3" ht="12" customHeight="1" x14ac:dyDescent="0.3">
      <c r="B61" s="77"/>
      <c r="C61" s="63"/>
    </row>
    <row r="62" spans="2:3" x14ac:dyDescent="0.3">
      <c r="B62" s="71" t="s">
        <v>96</v>
      </c>
      <c r="C62" s="63" t="s">
        <v>182</v>
      </c>
    </row>
    <row r="63" spans="2:3" ht="18" customHeight="1" x14ac:dyDescent="0.3">
      <c r="B63" s="77"/>
      <c r="C63" s="63" t="s">
        <v>90</v>
      </c>
    </row>
    <row r="64" spans="2:3" ht="12" customHeight="1" x14ac:dyDescent="0.3">
      <c r="B64" s="77"/>
      <c r="C64" s="63"/>
    </row>
    <row r="65" spans="2:3" x14ac:dyDescent="0.3">
      <c r="B65" s="71" t="s">
        <v>97</v>
      </c>
      <c r="C65" s="63" t="s">
        <v>99</v>
      </c>
    </row>
    <row r="66" spans="2:3" ht="12" customHeight="1" x14ac:dyDescent="0.3">
      <c r="B66" s="77"/>
      <c r="C66" s="63"/>
    </row>
    <row r="67" spans="2:3" ht="28.8" x14ac:dyDescent="0.3">
      <c r="B67" s="71" t="s">
        <v>98</v>
      </c>
      <c r="C67" s="63" t="s">
        <v>91</v>
      </c>
    </row>
    <row r="68" spans="2:3" ht="12" customHeight="1" x14ac:dyDescent="0.3">
      <c r="B68" s="77"/>
      <c r="C68" s="63"/>
    </row>
    <row r="69" spans="2:3" ht="12" customHeight="1" x14ac:dyDescent="0.3">
      <c r="B69" s="77"/>
      <c r="C69" s="63"/>
    </row>
    <row r="70" spans="2:3" ht="43.2" x14ac:dyDescent="0.3">
      <c r="B70" s="78" t="s">
        <v>5</v>
      </c>
      <c r="C70" s="64" t="s">
        <v>92</v>
      </c>
    </row>
    <row r="71" spans="2:3" ht="9" customHeight="1" x14ac:dyDescent="0.3">
      <c r="B71" s="74"/>
      <c r="C71" s="74"/>
    </row>
    <row r="72" spans="2:3" ht="28.8" x14ac:dyDescent="0.3">
      <c r="B72" s="87" t="s">
        <v>135</v>
      </c>
      <c r="C72" s="79" t="s">
        <v>183</v>
      </c>
    </row>
    <row r="73" spans="2:3" ht="9" customHeight="1" x14ac:dyDescent="0.3">
      <c r="B73" s="74"/>
      <c r="C73" s="74"/>
    </row>
    <row r="74" spans="2:3" ht="24" customHeight="1" x14ac:dyDescent="0.3">
      <c r="B74" s="80" t="s">
        <v>100</v>
      </c>
      <c r="C74" s="81"/>
    </row>
    <row r="75" spans="2:3" ht="12" customHeight="1" x14ac:dyDescent="0.3">
      <c r="B75" s="82"/>
      <c r="C75" s="83"/>
    </row>
    <row r="76" spans="2:3" x14ac:dyDescent="0.3">
      <c r="B76" s="84" t="s">
        <v>102</v>
      </c>
      <c r="C76" s="83" t="s">
        <v>101</v>
      </c>
    </row>
    <row r="77" spans="2:3" x14ac:dyDescent="0.3">
      <c r="B77" s="84" t="s">
        <v>103</v>
      </c>
      <c r="C77" s="83" t="s">
        <v>109</v>
      </c>
    </row>
    <row r="78" spans="2:3" x14ac:dyDescent="0.3">
      <c r="B78" s="84" t="s">
        <v>132</v>
      </c>
      <c r="C78" s="83" t="s">
        <v>133</v>
      </c>
    </row>
    <row r="79" spans="2:3" x14ac:dyDescent="0.3">
      <c r="B79" s="84" t="s">
        <v>16</v>
      </c>
      <c r="C79" s="83" t="s">
        <v>106</v>
      </c>
    </row>
    <row r="80" spans="2:3" x14ac:dyDescent="0.3">
      <c r="B80" s="84" t="s">
        <v>107</v>
      </c>
      <c r="C80" s="83" t="s">
        <v>104</v>
      </c>
    </row>
    <row r="81" spans="2:3" x14ac:dyDescent="0.3">
      <c r="B81" s="85" t="s">
        <v>108</v>
      </c>
      <c r="C81" s="86" t="s">
        <v>105</v>
      </c>
    </row>
    <row r="82" spans="2:3" ht="24" customHeight="1" x14ac:dyDescent="0.3"/>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38"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8260080</xdr:colOff>
                    <xdr:row>1</xdr:row>
                    <xdr:rowOff>7620</xdr:rowOff>
                  </from>
                  <to>
                    <xdr:col>2</xdr:col>
                    <xdr:colOff>9906000</xdr:colOff>
                    <xdr:row>1</xdr:row>
                    <xdr:rowOff>487680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ED19"/>
  <sheetViews>
    <sheetView showGridLines="0" zoomScale="90" zoomScaleNormal="90" workbookViewId="0">
      <pane xSplit="3" topLeftCell="D1" activePane="topRight" state="frozen"/>
      <selection activeCell="DS1" sqref="DS1:ED1048576"/>
      <selection pane="topRight" activeCell="M10" sqref="M10"/>
    </sheetView>
  </sheetViews>
  <sheetFormatPr defaultColWidth="9.109375" defaultRowHeight="11.4" x14ac:dyDescent="0.2"/>
  <cols>
    <col min="1" max="1" width="9.109375" style="4"/>
    <col min="2" max="2" width="54.6640625" style="4" customWidth="1"/>
    <col min="3" max="3" width="10.6640625" style="4" customWidth="1"/>
    <col min="4" max="4" width="15.6640625" style="13" customWidth="1"/>
    <col min="5" max="15" width="15.6640625" style="4" customWidth="1"/>
    <col min="16" max="122" width="9.109375" style="4"/>
    <col min="123" max="134" width="0" style="4" hidden="1" customWidth="1"/>
    <col min="135" max="16384" width="9.109375" style="4"/>
  </cols>
  <sheetData>
    <row r="1" spans="1:134" ht="24" customHeight="1" x14ac:dyDescent="0.25">
      <c r="A1" s="159" t="s">
        <v>0</v>
      </c>
      <c r="B1" s="160"/>
      <c r="C1" s="20"/>
      <c r="D1" s="1"/>
      <c r="E1" s="2"/>
      <c r="F1" s="2"/>
      <c r="G1" s="2"/>
      <c r="H1" s="2"/>
      <c r="I1" s="2"/>
      <c r="J1" s="2"/>
      <c r="K1" s="2"/>
      <c r="L1" s="2"/>
      <c r="M1" s="2"/>
      <c r="N1" s="2"/>
      <c r="O1" s="2"/>
    </row>
    <row r="2" spans="1:134" ht="18" customHeight="1" x14ac:dyDescent="0.3">
      <c r="A2" s="161"/>
      <c r="B2" s="162"/>
      <c r="C2" s="1"/>
      <c r="D2" s="1"/>
      <c r="E2" s="5"/>
      <c r="F2" s="3"/>
      <c r="G2" s="3"/>
      <c r="H2" s="3"/>
      <c r="I2" s="3"/>
      <c r="J2" s="3"/>
      <c r="K2" s="3"/>
      <c r="L2" s="3"/>
      <c r="M2" s="3"/>
      <c r="N2" s="3"/>
      <c r="O2" s="3"/>
    </row>
    <row r="3" spans="1:134" ht="18" customHeight="1" x14ac:dyDescent="0.35">
      <c r="A3" s="163" t="s">
        <v>12</v>
      </c>
      <c r="B3" s="164"/>
      <c r="C3" s="1"/>
      <c r="D3" s="1"/>
      <c r="E3" s="5"/>
      <c r="F3" s="3"/>
      <c r="G3" s="3"/>
      <c r="H3" s="3"/>
      <c r="I3" s="3"/>
      <c r="J3" s="3"/>
      <c r="K3" s="3"/>
      <c r="L3" s="3"/>
      <c r="M3" s="3"/>
      <c r="N3" s="3"/>
      <c r="O3" s="3"/>
      <c r="DS3" s="4" t="s">
        <v>229</v>
      </c>
    </row>
    <row r="4" spans="1:134" ht="18" customHeight="1" x14ac:dyDescent="0.3">
      <c r="A4" s="165"/>
      <c r="B4" s="162"/>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3">
      <c r="A5" s="166" t="s">
        <v>3</v>
      </c>
      <c r="B5" s="167"/>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5"/>
      <c r="C6" s="46"/>
      <c r="D6" s="47"/>
      <c r="E6" s="48"/>
      <c r="F6" s="48"/>
      <c r="G6" s="48"/>
      <c r="H6" s="48"/>
      <c r="I6" s="48"/>
      <c r="J6" s="48"/>
      <c r="K6" s="48"/>
      <c r="L6" s="48"/>
      <c r="M6" s="48"/>
      <c r="N6" s="48"/>
      <c r="O6" s="48"/>
      <c r="DS6" s="4" t="str">
        <f>VLOOKUP(Cover!$D$15, Country_list!$B$3:$C$44, 2, 0)</f>
        <v>CY</v>
      </c>
      <c r="DV6" s="4" t="s">
        <v>298</v>
      </c>
    </row>
    <row r="7" spans="1:134" ht="24" customHeight="1" x14ac:dyDescent="0.2">
      <c r="A7" s="157" t="s">
        <v>15</v>
      </c>
      <c r="B7" s="158"/>
      <c r="C7" s="44"/>
      <c r="D7" s="15"/>
      <c r="E7" s="45"/>
      <c r="F7" s="45"/>
      <c r="G7" s="45"/>
      <c r="H7" s="45"/>
      <c r="I7" s="45"/>
      <c r="J7" s="45"/>
      <c r="K7" s="45"/>
      <c r="L7" s="45"/>
      <c r="M7" s="45"/>
      <c r="N7" s="45"/>
      <c r="O7" s="45"/>
    </row>
    <row r="8" spans="1:134" ht="24" customHeight="1" x14ac:dyDescent="0.2">
      <c r="A8" s="157" t="s">
        <v>29</v>
      </c>
      <c r="B8" s="158"/>
      <c r="C8" s="44"/>
      <c r="D8" s="15"/>
      <c r="E8" s="45"/>
      <c r="F8" s="45"/>
      <c r="G8" s="45"/>
      <c r="H8" s="45"/>
      <c r="I8" s="45"/>
      <c r="J8" s="45"/>
      <c r="K8" s="45"/>
      <c r="L8" s="45"/>
      <c r="M8" s="45"/>
      <c r="N8" s="45"/>
      <c r="O8" s="45"/>
    </row>
    <row r="9" spans="1:134" ht="24" customHeight="1" x14ac:dyDescent="0.2">
      <c r="A9" s="157" t="s">
        <v>156</v>
      </c>
      <c r="B9" s="158"/>
      <c r="C9" s="9" t="s">
        <v>132</v>
      </c>
      <c r="D9" s="88"/>
      <c r="E9" s="89"/>
      <c r="F9" s="89"/>
      <c r="G9" s="89"/>
      <c r="H9" s="89"/>
      <c r="I9" s="89"/>
      <c r="J9" s="89"/>
      <c r="K9" s="89"/>
      <c r="L9" s="89">
        <v>29500</v>
      </c>
      <c r="M9" s="89"/>
      <c r="N9" s="89"/>
      <c r="O9" s="89"/>
      <c r="DT9" s="4" t="s">
        <v>279</v>
      </c>
      <c r="EB9" s="4" t="s">
        <v>300</v>
      </c>
      <c r="ED9" s="4" t="s">
        <v>301</v>
      </c>
    </row>
    <row r="10" spans="1:134" ht="24" customHeight="1" x14ac:dyDescent="0.2">
      <c r="A10" s="157" t="s">
        <v>20</v>
      </c>
      <c r="B10" s="158"/>
      <c r="C10" s="9" t="s">
        <v>132</v>
      </c>
      <c r="D10" s="88"/>
      <c r="E10" s="89"/>
      <c r="F10" s="89"/>
      <c r="G10" s="89"/>
      <c r="H10" s="89"/>
      <c r="I10" s="89"/>
      <c r="J10" s="89"/>
      <c r="K10" s="89"/>
      <c r="L10" s="89">
        <f>44423</f>
        <v>44423</v>
      </c>
      <c r="M10" s="89"/>
      <c r="N10" s="89"/>
      <c r="O10" s="89"/>
      <c r="DT10" s="4" t="s">
        <v>280</v>
      </c>
      <c r="EB10" s="4" t="s">
        <v>300</v>
      </c>
      <c r="ED10" s="4" t="s">
        <v>301</v>
      </c>
    </row>
    <row r="11" spans="1:134" s="13" customFormat="1" ht="15" customHeight="1" x14ac:dyDescent="0.2">
      <c r="A11" s="156" t="s">
        <v>18</v>
      </c>
      <c r="B11" s="102" t="s">
        <v>21</v>
      </c>
      <c r="C11" s="103" t="s">
        <v>132</v>
      </c>
      <c r="D11" s="107"/>
      <c r="E11" s="107"/>
      <c r="F11" s="108"/>
      <c r="G11" s="108"/>
      <c r="H11" s="108"/>
      <c r="I11" s="108"/>
      <c r="J11" s="108"/>
      <c r="K11" s="108"/>
      <c r="L11" s="108">
        <v>47300</v>
      </c>
      <c r="M11" s="108"/>
      <c r="N11" s="108"/>
      <c r="O11" s="108"/>
      <c r="DT11" s="13" t="s">
        <v>281</v>
      </c>
      <c r="EB11" s="13" t="s">
        <v>300</v>
      </c>
      <c r="ED11" s="13" t="s">
        <v>301</v>
      </c>
    </row>
    <row r="12" spans="1:134" s="13" customFormat="1" ht="15" customHeight="1" x14ac:dyDescent="0.2">
      <c r="A12" s="156"/>
      <c r="B12" s="102" t="s">
        <v>22</v>
      </c>
      <c r="C12" s="103" t="s">
        <v>132</v>
      </c>
      <c r="D12" s="107"/>
      <c r="E12" s="107"/>
      <c r="F12" s="107"/>
      <c r="G12" s="107"/>
      <c r="H12" s="107"/>
      <c r="I12" s="107"/>
      <c r="J12" s="107"/>
      <c r="K12" s="107"/>
      <c r="L12" s="107">
        <v>43800</v>
      </c>
      <c r="M12" s="107"/>
      <c r="N12" s="107"/>
      <c r="O12" s="107"/>
      <c r="DT12" s="13" t="s">
        <v>282</v>
      </c>
      <c r="EB12" s="13" t="s">
        <v>300</v>
      </c>
      <c r="ED12" s="13" t="s">
        <v>301</v>
      </c>
    </row>
    <row r="13" spans="1:134" s="13" customFormat="1" ht="15" customHeight="1" x14ac:dyDescent="0.2">
      <c r="A13" s="156"/>
      <c r="B13" s="102" t="s">
        <v>23</v>
      </c>
      <c r="C13" s="103" t="s">
        <v>132</v>
      </c>
      <c r="D13" s="107"/>
      <c r="E13" s="107"/>
      <c r="F13" s="107"/>
      <c r="G13" s="107"/>
      <c r="H13" s="107"/>
      <c r="I13" s="107"/>
      <c r="J13" s="107"/>
      <c r="K13" s="107"/>
      <c r="L13" s="107">
        <v>43000</v>
      </c>
      <c r="M13" s="107"/>
      <c r="N13" s="107"/>
      <c r="O13" s="107"/>
      <c r="DT13" s="13" t="s">
        <v>283</v>
      </c>
      <c r="EB13" s="13" t="s">
        <v>300</v>
      </c>
      <c r="ED13" s="13" t="s">
        <v>301</v>
      </c>
    </row>
    <row r="14" spans="1:134" ht="24" customHeight="1" x14ac:dyDescent="0.2">
      <c r="A14" s="157" t="s">
        <v>24</v>
      </c>
      <c r="B14" s="158"/>
      <c r="C14" s="44"/>
      <c r="D14" s="15"/>
      <c r="E14" s="45"/>
      <c r="F14" s="45"/>
      <c r="G14" s="45"/>
      <c r="H14" s="45"/>
      <c r="I14" s="45"/>
      <c r="J14" s="45"/>
      <c r="K14" s="45"/>
      <c r="L14" s="45"/>
      <c r="M14" s="45"/>
      <c r="N14" s="45"/>
      <c r="O14" s="45"/>
    </row>
    <row r="15" spans="1:134" s="13" customFormat="1" ht="15" customHeight="1" x14ac:dyDescent="0.2">
      <c r="A15" s="156" t="s">
        <v>18</v>
      </c>
      <c r="B15" s="102" t="s">
        <v>26</v>
      </c>
      <c r="C15" s="14"/>
      <c r="D15" s="15"/>
      <c r="E15" s="12"/>
      <c r="F15" s="12"/>
      <c r="G15" s="12"/>
      <c r="H15" s="12"/>
      <c r="I15" s="12"/>
      <c r="J15" s="12"/>
      <c r="K15" s="12"/>
      <c r="L15" s="12"/>
      <c r="M15" s="12"/>
      <c r="N15" s="12"/>
      <c r="O15" s="12"/>
    </row>
    <row r="16" spans="1:134" s="13" customFormat="1" ht="15" customHeight="1" x14ac:dyDescent="0.2">
      <c r="A16" s="156"/>
      <c r="B16" s="102" t="s">
        <v>27</v>
      </c>
      <c r="C16" s="14"/>
      <c r="D16" s="15"/>
      <c r="E16" s="12"/>
      <c r="F16" s="12"/>
      <c r="G16" s="12"/>
      <c r="H16" s="12"/>
      <c r="I16" s="12"/>
      <c r="J16" s="12"/>
      <c r="K16" s="12"/>
      <c r="L16" s="12"/>
      <c r="M16" s="12"/>
      <c r="N16" s="12"/>
      <c r="O16" s="12"/>
    </row>
    <row r="17" spans="1:15" s="13" customFormat="1" ht="15" customHeight="1" x14ac:dyDescent="0.2">
      <c r="A17" s="156"/>
      <c r="B17" s="102" t="s">
        <v>28</v>
      </c>
      <c r="C17" s="14"/>
      <c r="D17" s="15"/>
      <c r="E17" s="12"/>
      <c r="F17" s="12"/>
      <c r="G17" s="12"/>
      <c r="H17" s="12"/>
      <c r="I17" s="12"/>
      <c r="J17" s="12"/>
      <c r="K17" s="12"/>
      <c r="L17" s="12"/>
      <c r="M17" s="12"/>
      <c r="N17" s="12"/>
      <c r="O17" s="12"/>
    </row>
    <row r="18" spans="1:15" s="13" customFormat="1" ht="15" customHeight="1" x14ac:dyDescent="0.2">
      <c r="A18" s="156"/>
      <c r="B18" s="102"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22860</xdr:colOff>
                    <xdr:row>18</xdr:row>
                    <xdr:rowOff>30480</xdr:rowOff>
                  </from>
                  <to>
                    <xdr:col>1</xdr:col>
                    <xdr:colOff>1028700</xdr:colOff>
                    <xdr:row>21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4" sqref="D14"/>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9" t="s">
        <v>0</v>
      </c>
      <c r="B1" s="170"/>
      <c r="C1" s="20"/>
      <c r="D1" s="1"/>
      <c r="E1" s="2"/>
      <c r="F1" s="2"/>
      <c r="G1" s="2"/>
      <c r="H1" s="2"/>
      <c r="I1" s="2"/>
      <c r="J1" s="2"/>
      <c r="K1" s="3"/>
    </row>
    <row r="2" spans="1:11" ht="18" customHeight="1" x14ac:dyDescent="0.3">
      <c r="A2" s="171" t="s">
        <v>1</v>
      </c>
      <c r="B2" s="172"/>
      <c r="C2" s="1" t="str">
        <f>Cover!D15</f>
        <v>Cyprus</v>
      </c>
      <c r="D2" s="1"/>
      <c r="E2" s="5"/>
      <c r="F2" s="3"/>
      <c r="G2" s="3"/>
      <c r="H2" s="3"/>
      <c r="I2" s="3"/>
      <c r="J2" s="3"/>
      <c r="K2" s="3"/>
    </row>
    <row r="3" spans="1:11" ht="18" customHeight="1" x14ac:dyDescent="0.3">
      <c r="A3" s="171" t="s">
        <v>2</v>
      </c>
      <c r="B3" s="173"/>
      <c r="C3" s="106">
        <v>2018</v>
      </c>
      <c r="D3" s="1"/>
      <c r="E3" s="5"/>
      <c r="F3" s="3"/>
      <c r="G3" s="3"/>
      <c r="H3" s="3"/>
      <c r="I3" s="3"/>
      <c r="J3" s="3"/>
      <c r="K3" s="3"/>
    </row>
    <row r="4" spans="1:11" ht="18" customHeight="1" x14ac:dyDescent="0.3">
      <c r="A4" s="174"/>
      <c r="B4" s="175"/>
      <c r="C4" s="20"/>
      <c r="D4" s="1"/>
      <c r="E4" s="5"/>
      <c r="F4" s="3"/>
      <c r="G4" s="3"/>
      <c r="H4" s="3"/>
      <c r="I4" s="3"/>
      <c r="J4" s="3"/>
      <c r="K4" s="3"/>
    </row>
    <row r="5" spans="1:11" ht="37.5" customHeight="1" x14ac:dyDescent="0.3">
      <c r="A5" s="166" t="s">
        <v>3</v>
      </c>
      <c r="B5" s="176"/>
      <c r="C5" s="6" t="s">
        <v>4</v>
      </c>
      <c r="D5" s="7" t="s">
        <v>5</v>
      </c>
      <c r="E5" s="6" t="s">
        <v>6</v>
      </c>
      <c r="F5" s="6" t="s">
        <v>7</v>
      </c>
      <c r="G5" s="6" t="s">
        <v>8</v>
      </c>
      <c r="H5" s="6" t="s">
        <v>9</v>
      </c>
      <c r="I5" s="6" t="s">
        <v>10</v>
      </c>
      <c r="J5" s="6" t="s">
        <v>11</v>
      </c>
      <c r="K5" s="7" t="s">
        <v>12</v>
      </c>
    </row>
    <row r="6" spans="1:11" ht="24" customHeight="1" x14ac:dyDescent="0.3">
      <c r="A6" s="168" t="s">
        <v>13</v>
      </c>
      <c r="B6" s="169"/>
      <c r="C6" s="100" t="s">
        <v>14</v>
      </c>
      <c r="D6" s="109">
        <f ca="1">SUM(E6:J6)</f>
        <v>1688.2779989999999</v>
      </c>
      <c r="E6" s="110">
        <f ca="1">INDIRECT(ADDRESS(ROW(K6),$C$3 -2010 + 4,,,"1a_SpaceHeating"))</f>
        <v>177.89009100000001</v>
      </c>
      <c r="F6" s="110">
        <f ca="1">INDIRECT(ADDRESS(ROW(K6),$C$3-2010+4,,,"1b_SpaceCooling"))</f>
        <v>437.852532</v>
      </c>
      <c r="G6" s="110">
        <f ca="1">INDIRECT(ADDRESS(ROW(K6),$C$3-2010+4,,,"1c_WaterHeating"))</f>
        <v>132.69061300000001</v>
      </c>
      <c r="H6" s="110">
        <f ca="1">INDIRECT(ADDRESS(ROW(K6),$C$3-2010+4,,,"1d_Cooking"))</f>
        <v>97.870487999999995</v>
      </c>
      <c r="I6" s="110">
        <f ca="1">INDIRECT(ADDRESS(ROW(K6),$C$3-2010+4,,,"1e_LightingAndAppliances"))</f>
        <v>841.97427500000003</v>
      </c>
      <c r="J6" s="110">
        <f ca="1">INDIRECT(ADDRESS(ROW(K6),$C$3-2010+4,,,"1f_OtherEndUses"))</f>
        <v>0</v>
      </c>
      <c r="K6" s="111"/>
    </row>
    <row r="7" spans="1:11" ht="24" customHeight="1" x14ac:dyDescent="0.3">
      <c r="A7" s="178" t="s">
        <v>15</v>
      </c>
      <c r="B7" s="179"/>
      <c r="C7" s="101" t="s">
        <v>16</v>
      </c>
      <c r="D7" s="112">
        <f t="shared" ref="D7:D16" ca="1" si="0">SUM(E7:J7)</f>
        <v>0</v>
      </c>
      <c r="E7" s="113">
        <f t="shared" ref="E7:E16" ca="1" si="1">INDIRECT(ADDRESS(ROW(K7),$C$3 -2010 + 4,,,"1a_SpaceHeating"))</f>
        <v>0</v>
      </c>
      <c r="F7" s="114"/>
      <c r="G7" s="113">
        <f t="shared" ref="G7:G16" ca="1" si="2">INDIRECT(ADDRESS(ROW(K7),$C$3-2010+4,,,"1c_WaterHeating"))</f>
        <v>0</v>
      </c>
      <c r="H7" s="113">
        <f t="shared" ref="H7:H16" ca="1" si="3">INDIRECT(ADDRESS(ROW(K7),$C$3-2010+4,,,"1d_Cooking"))</f>
        <v>0</v>
      </c>
      <c r="I7" s="114"/>
      <c r="J7" s="113">
        <f t="shared" ref="J7:J17" ca="1" si="4">INDIRECT(ADDRESS(ROW(K7),$C$3-2010+4,,,"1f_OtherEndUses"))</f>
        <v>0</v>
      </c>
      <c r="K7" s="114"/>
    </row>
    <row r="8" spans="1:11" ht="24" customHeight="1" x14ac:dyDescent="0.3">
      <c r="A8" s="178" t="s">
        <v>29</v>
      </c>
      <c r="B8" s="179"/>
      <c r="C8" s="101" t="s">
        <v>17</v>
      </c>
      <c r="D8" s="112">
        <f t="shared" ca="1" si="0"/>
        <v>0</v>
      </c>
      <c r="E8" s="113">
        <f t="shared" ca="1" si="1"/>
        <v>0</v>
      </c>
      <c r="F8" s="114"/>
      <c r="G8" s="113">
        <f t="shared" ca="1" si="2"/>
        <v>0</v>
      </c>
      <c r="H8" s="113">
        <f t="shared" ca="1" si="3"/>
        <v>0</v>
      </c>
      <c r="I8" s="114"/>
      <c r="J8" s="113">
        <f t="shared" ca="1" si="4"/>
        <v>0</v>
      </c>
      <c r="K8" s="114"/>
    </row>
    <row r="9" spans="1:11" ht="24" customHeight="1" x14ac:dyDescent="0.3">
      <c r="A9" s="178" t="s">
        <v>156</v>
      </c>
      <c r="B9" s="179"/>
      <c r="C9" s="101" t="s">
        <v>19</v>
      </c>
      <c r="D9" s="112">
        <f t="shared" ca="1" si="0"/>
        <v>0</v>
      </c>
      <c r="E9" s="113">
        <f t="shared" ca="1" si="1"/>
        <v>0</v>
      </c>
      <c r="F9" s="114"/>
      <c r="G9" s="113">
        <f t="shared" ca="1" si="2"/>
        <v>0</v>
      </c>
      <c r="H9" s="113">
        <f t="shared" ca="1" si="3"/>
        <v>0</v>
      </c>
      <c r="I9" s="114"/>
      <c r="J9" s="113">
        <f t="shared" ca="1" si="4"/>
        <v>0</v>
      </c>
      <c r="K9" s="115">
        <f ca="1">INDIRECT(ADDRESS(ROW(K9),$C$3-2010+4,,,"Calorific_Values"))</f>
        <v>29500</v>
      </c>
    </row>
    <row r="10" spans="1:11" ht="24" customHeight="1" x14ac:dyDescent="0.3">
      <c r="A10" s="178" t="s">
        <v>42</v>
      </c>
      <c r="B10" s="179"/>
      <c r="C10" s="101" t="s">
        <v>19</v>
      </c>
      <c r="D10" s="112">
        <f t="shared" ca="1" si="0"/>
        <v>91.19086599660001</v>
      </c>
      <c r="E10" s="113">
        <f t="shared" ca="1" si="1"/>
        <v>69.771272214000007</v>
      </c>
      <c r="F10" s="114"/>
      <c r="G10" s="113">
        <f t="shared" ca="1" si="2"/>
        <v>6.4617637826000003</v>
      </c>
      <c r="H10" s="113">
        <f t="shared" ca="1" si="3"/>
        <v>14.95783</v>
      </c>
      <c r="I10" s="114"/>
      <c r="J10" s="113">
        <f t="shared" ca="1" si="4"/>
        <v>0</v>
      </c>
      <c r="K10" s="115">
        <f ca="1">INDIRECT(ADDRESS(ROW(K10),$C$3-2010+4,,,"Calorific_Values"))</f>
        <v>44423</v>
      </c>
    </row>
    <row r="11" spans="1:11" s="33" customFormat="1" ht="15" customHeight="1" x14ac:dyDescent="0.3">
      <c r="A11" s="177" t="s">
        <v>18</v>
      </c>
      <c r="B11" s="10" t="s">
        <v>21</v>
      </c>
      <c r="C11" s="11" t="s">
        <v>19</v>
      </c>
      <c r="D11" s="116">
        <f t="shared" ca="1" si="0"/>
        <v>28.447865999999998</v>
      </c>
      <c r="E11" s="117">
        <f t="shared" ca="1" si="1"/>
        <v>11.589874999999999</v>
      </c>
      <c r="F11" s="118"/>
      <c r="G11" s="117">
        <f t="shared" ca="1" si="2"/>
        <v>1.900161</v>
      </c>
      <c r="H11" s="117">
        <f t="shared" ca="1" si="3"/>
        <v>14.95783</v>
      </c>
      <c r="I11" s="118"/>
      <c r="J11" s="117">
        <f t="shared" ca="1" si="4"/>
        <v>0</v>
      </c>
      <c r="K11" s="119">
        <f t="shared" ref="K11:K13" ca="1" si="5">INDIRECT(ADDRESS(ROW(K11),$C$3-2010+4,,,"Calorific_Values"))</f>
        <v>47300</v>
      </c>
    </row>
    <row r="12" spans="1:11" s="33" customFormat="1" ht="15" customHeight="1" x14ac:dyDescent="0.3">
      <c r="A12" s="177"/>
      <c r="B12" s="10" t="s">
        <v>22</v>
      </c>
      <c r="C12" s="11" t="s">
        <v>19</v>
      </c>
      <c r="D12" s="116">
        <f t="shared" ca="1" si="0"/>
        <v>9.2989999996000012</v>
      </c>
      <c r="E12" s="117">
        <f t="shared" ca="1" si="1"/>
        <v>8.9034638840000007</v>
      </c>
      <c r="F12" s="118"/>
      <c r="G12" s="117">
        <f t="shared" ca="1" si="2"/>
        <v>0.39553611560000002</v>
      </c>
      <c r="H12" s="117">
        <f t="shared" ca="1" si="3"/>
        <v>0</v>
      </c>
      <c r="I12" s="118"/>
      <c r="J12" s="117">
        <f t="shared" ca="1" si="4"/>
        <v>0</v>
      </c>
      <c r="K12" s="119">
        <f t="shared" ca="1" si="5"/>
        <v>43800</v>
      </c>
    </row>
    <row r="13" spans="1:11" s="33" customFormat="1" ht="15" customHeight="1" x14ac:dyDescent="0.3">
      <c r="A13" s="177"/>
      <c r="B13" s="10" t="s">
        <v>23</v>
      </c>
      <c r="C13" s="11" t="s">
        <v>19</v>
      </c>
      <c r="D13" s="116">
        <f t="shared" ca="1" si="0"/>
        <v>53.443999997000006</v>
      </c>
      <c r="E13" s="117">
        <f t="shared" ca="1" si="1"/>
        <v>49.277933330000003</v>
      </c>
      <c r="F13" s="118"/>
      <c r="G13" s="117">
        <f t="shared" ca="1" si="2"/>
        <v>4.1660666669999999</v>
      </c>
      <c r="H13" s="117">
        <f t="shared" ca="1" si="3"/>
        <v>0</v>
      </c>
      <c r="I13" s="118"/>
      <c r="J13" s="117">
        <f t="shared" ca="1" si="4"/>
        <v>0</v>
      </c>
      <c r="K13" s="119">
        <f t="shared" ca="1" si="5"/>
        <v>43000</v>
      </c>
    </row>
    <row r="14" spans="1:11" ht="24" customHeight="1" x14ac:dyDescent="0.3">
      <c r="A14" s="178" t="s">
        <v>43</v>
      </c>
      <c r="B14" s="179"/>
      <c r="C14" s="101" t="s">
        <v>16</v>
      </c>
      <c r="D14" s="112">
        <f t="shared" ca="1" si="0"/>
        <v>3752.4381100000001</v>
      </c>
      <c r="E14" s="113">
        <f t="shared" ca="1" si="1"/>
        <v>1178.75</v>
      </c>
      <c r="F14" s="114"/>
      <c r="G14" s="113">
        <f t="shared" ca="1" si="2"/>
        <v>2557.50711</v>
      </c>
      <c r="H14" s="113">
        <f t="shared" ca="1" si="3"/>
        <v>0</v>
      </c>
      <c r="I14" s="114"/>
      <c r="J14" s="113">
        <f t="shared" ca="1" si="4"/>
        <v>16.181000000000001</v>
      </c>
      <c r="K14" s="114"/>
    </row>
    <row r="15" spans="1:11" s="33" customFormat="1" ht="15" customHeight="1" x14ac:dyDescent="0.3">
      <c r="A15" s="177" t="s">
        <v>18</v>
      </c>
      <c r="B15" s="10" t="s">
        <v>26</v>
      </c>
      <c r="C15" s="11" t="s">
        <v>16</v>
      </c>
      <c r="D15" s="116">
        <f t="shared" ca="1" si="0"/>
        <v>2548.5839999999998</v>
      </c>
      <c r="E15" s="117">
        <f t="shared" ca="1" si="1"/>
        <v>0</v>
      </c>
      <c r="F15" s="118"/>
      <c r="G15" s="117">
        <f t="shared" ca="1" si="2"/>
        <v>2548.5839999999998</v>
      </c>
      <c r="H15" s="117">
        <f t="shared" ca="1" si="3"/>
        <v>0</v>
      </c>
      <c r="I15" s="118"/>
      <c r="J15" s="117">
        <f t="shared" ca="1" si="4"/>
        <v>0</v>
      </c>
      <c r="K15" s="118"/>
    </row>
    <row r="16" spans="1:11" s="33" customFormat="1" ht="15" customHeight="1" x14ac:dyDescent="0.3">
      <c r="A16" s="177"/>
      <c r="B16" s="10" t="s">
        <v>27</v>
      </c>
      <c r="C16" s="11" t="s">
        <v>16</v>
      </c>
      <c r="D16" s="116">
        <f t="shared" ca="1" si="0"/>
        <v>709.19899499999997</v>
      </c>
      <c r="E16" s="117">
        <f t="shared" ca="1" si="1"/>
        <v>692.60830499999997</v>
      </c>
      <c r="F16" s="118"/>
      <c r="G16" s="117">
        <f t="shared" ca="1" si="2"/>
        <v>8.9231099999999994</v>
      </c>
      <c r="H16" s="117">
        <f t="shared" ca="1" si="3"/>
        <v>0</v>
      </c>
      <c r="I16" s="118"/>
      <c r="J16" s="117">
        <f t="shared" ca="1" si="4"/>
        <v>7.6675800000000001</v>
      </c>
      <c r="K16" s="118"/>
    </row>
    <row r="17" spans="1:11" s="33" customFormat="1" ht="15" customHeight="1" x14ac:dyDescent="0.3">
      <c r="A17" s="177"/>
      <c r="B17" s="10" t="s">
        <v>28</v>
      </c>
      <c r="C17" s="11" t="s">
        <v>16</v>
      </c>
      <c r="D17" s="116">
        <f t="shared" ref="D17" ca="1" si="6">SUM(E17:J17)</f>
        <v>0</v>
      </c>
      <c r="E17" s="117">
        <f t="shared" ref="E17" ca="1" si="7">INDIRECT(ADDRESS(ROW(K17),$C$3 -2010 + 4,,,"1a_SpaceHeating"))</f>
        <v>0</v>
      </c>
      <c r="F17" s="118"/>
      <c r="G17" s="117">
        <f t="shared" ref="G17" ca="1" si="8">INDIRECT(ADDRESS(ROW(K17),$C$3-2010+4,,,"1c_WaterHeating"))</f>
        <v>0</v>
      </c>
      <c r="H17" s="117">
        <f t="shared" ref="H17" ca="1" si="9">INDIRECT(ADDRESS(ROW(K17),$C$3-2010+4,,,"1d_Cooking"))</f>
        <v>0</v>
      </c>
      <c r="I17" s="118"/>
      <c r="J17" s="117">
        <f t="shared" ca="1" si="4"/>
        <v>0</v>
      </c>
      <c r="K17" s="118"/>
    </row>
    <row r="18" spans="1:11" s="33" customFormat="1" ht="15" customHeight="1" x14ac:dyDescent="0.3">
      <c r="A18" s="177"/>
      <c r="B18" s="33" t="s">
        <v>184</v>
      </c>
      <c r="C18" s="11" t="s">
        <v>16</v>
      </c>
      <c r="D18" s="116">
        <f ca="1">SUM(E18:J18)</f>
        <v>421.226</v>
      </c>
      <c r="E18" s="117">
        <f ca="1">INDIRECT(ADDRESS(ROW(K18),$C$3 -2010 + 4,,,"1a_SpaceHeating"))</f>
        <v>421.226</v>
      </c>
      <c r="F18" s="118"/>
      <c r="G18" s="117">
        <f ca="1">INDIRECT(ADDRESS(ROW(K18),$C$3-2010+4,,,"1c_WaterHeating"))</f>
        <v>0</v>
      </c>
      <c r="H18" s="117">
        <f ca="1">INDIRECT(ADDRESS(ROW(K18),$C$3-2010+4,,,"1d_Cooking"))</f>
        <v>0</v>
      </c>
      <c r="I18" s="118"/>
      <c r="J18" s="117">
        <f ca="1">INDIRECT(ADDRESS(ROW(K18),$C$3-2010+4,,,"1f_OtherEndUses"))</f>
        <v>0</v>
      </c>
      <c r="K18" s="118"/>
    </row>
    <row r="19" spans="1:11" ht="21" customHeight="1" x14ac:dyDescent="0.3">
      <c r="A19" s="34"/>
      <c r="B19" s="34"/>
      <c r="C19" s="34"/>
      <c r="D19" s="35"/>
      <c r="E19" s="34"/>
      <c r="F19" s="34"/>
      <c r="G19" s="34"/>
      <c r="H19" s="34"/>
      <c r="I19" s="34"/>
      <c r="J19" s="34"/>
      <c r="K19" s="36"/>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30480</xdr:colOff>
                    <xdr:row>18</xdr:row>
                    <xdr:rowOff>38100</xdr:rowOff>
                  </from>
                  <to>
                    <xdr:col>1</xdr:col>
                    <xdr:colOff>1028700</xdr:colOff>
                    <xdr:row>21</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4" sqref="D14"/>
    </sheetView>
  </sheetViews>
  <sheetFormatPr defaultColWidth="15.6640625" defaultRowHeight="11.4" x14ac:dyDescent="0.3"/>
  <cols>
    <col min="1" max="1" width="9.109375" style="32" customWidth="1"/>
    <col min="2" max="2" width="54.6640625" style="32" customWidth="1"/>
    <col min="3" max="3" width="15" style="32" customWidth="1"/>
    <col min="4" max="4" width="18.6640625" style="37" customWidth="1"/>
    <col min="5" max="10" width="15.6640625" style="32" customWidth="1"/>
    <col min="11" max="11" width="12.6640625" style="33" customWidth="1"/>
    <col min="12" max="12" width="9.109375" style="32" customWidth="1"/>
    <col min="13" max="16384" width="15.6640625" style="32"/>
  </cols>
  <sheetData>
    <row r="1" spans="1:11" ht="24" customHeight="1" x14ac:dyDescent="0.3">
      <c r="A1" s="159" t="s">
        <v>0</v>
      </c>
      <c r="B1" s="170"/>
      <c r="C1" s="20"/>
      <c r="D1" s="1"/>
      <c r="E1" s="2"/>
      <c r="F1" s="2"/>
      <c r="G1" s="2"/>
      <c r="H1" s="2"/>
      <c r="I1" s="2"/>
      <c r="J1" s="2"/>
      <c r="K1" s="3"/>
    </row>
    <row r="2" spans="1:11" ht="18" customHeight="1" x14ac:dyDescent="0.3">
      <c r="A2" s="171" t="s">
        <v>1</v>
      </c>
      <c r="B2" s="172"/>
      <c r="C2" s="1" t="str">
        <f>Cover!D15</f>
        <v>Cyprus</v>
      </c>
      <c r="D2" s="1"/>
      <c r="E2" s="5"/>
      <c r="F2" s="3"/>
      <c r="G2" s="3"/>
      <c r="H2" s="3"/>
      <c r="I2" s="3"/>
      <c r="J2" s="3"/>
      <c r="K2" s="3"/>
    </row>
    <row r="3" spans="1:11" ht="18" customHeight="1" x14ac:dyDescent="0.3">
      <c r="A3" s="171" t="s">
        <v>2</v>
      </c>
      <c r="B3" s="172"/>
      <c r="C3" s="1">
        <f>Table1_Totals!C3</f>
        <v>2018</v>
      </c>
      <c r="D3" s="1"/>
      <c r="E3" s="5"/>
      <c r="F3" s="3"/>
      <c r="G3" s="3"/>
      <c r="H3" s="3"/>
      <c r="I3" s="3"/>
      <c r="J3" s="3"/>
      <c r="K3" s="3"/>
    </row>
    <row r="4" spans="1:11" ht="18" customHeight="1" x14ac:dyDescent="0.3">
      <c r="A4" s="174"/>
      <c r="B4" s="175"/>
      <c r="C4" s="20"/>
      <c r="D4" s="1"/>
      <c r="E4" s="5"/>
      <c r="F4" s="3"/>
      <c r="G4" s="3"/>
      <c r="H4" s="3"/>
      <c r="I4" s="3"/>
      <c r="J4" s="3"/>
      <c r="K4" s="3"/>
    </row>
    <row r="5" spans="1:11" ht="37.5" customHeight="1" x14ac:dyDescent="0.3">
      <c r="A5" s="166" t="s">
        <v>3</v>
      </c>
      <c r="B5" s="176"/>
      <c r="C5" s="6" t="s">
        <v>4</v>
      </c>
      <c r="D5" s="7" t="s">
        <v>5</v>
      </c>
      <c r="E5" s="6" t="s">
        <v>6</v>
      </c>
      <c r="F5" s="6" t="s">
        <v>7</v>
      </c>
      <c r="G5" s="6" t="s">
        <v>8</v>
      </c>
      <c r="H5" s="6" t="s">
        <v>9</v>
      </c>
      <c r="I5" s="6" t="s">
        <v>10</v>
      </c>
      <c r="J5" s="6" t="s">
        <v>11</v>
      </c>
      <c r="K5" s="7" t="s">
        <v>12</v>
      </c>
    </row>
    <row r="6" spans="1:11" ht="24" customHeight="1" x14ac:dyDescent="0.3">
      <c r="A6" s="168" t="s">
        <v>13</v>
      </c>
      <c r="B6" s="169"/>
      <c r="C6" s="100" t="s">
        <v>16</v>
      </c>
      <c r="D6" s="109">
        <f ca="1">SUM(E6:J6)</f>
        <v>6077.8007964000008</v>
      </c>
      <c r="E6" s="110">
        <f ca="1">Table1_Totals!E6*3.6</f>
        <v>640.4043276000001</v>
      </c>
      <c r="F6" s="110">
        <f ca="1">Table1_Totals!F6*3.6</f>
        <v>1576.2691152</v>
      </c>
      <c r="G6" s="110">
        <f ca="1">Table1_Totals!G6*3.6</f>
        <v>477.68620680000004</v>
      </c>
      <c r="H6" s="110">
        <f ca="1">Table1_Totals!H6*3.6</f>
        <v>352.3337568</v>
      </c>
      <c r="I6" s="110">
        <f ca="1">Table1_Totals!I6*3.6</f>
        <v>3031.1073900000001</v>
      </c>
      <c r="J6" s="110">
        <f ca="1">Table1_Totals!J6*3.6</f>
        <v>0</v>
      </c>
      <c r="K6" s="111"/>
    </row>
    <row r="7" spans="1:11" ht="24" customHeight="1" x14ac:dyDescent="0.3">
      <c r="A7" s="178" t="s">
        <v>15</v>
      </c>
      <c r="B7" s="179"/>
      <c r="C7" s="101" t="s">
        <v>16</v>
      </c>
      <c r="D7" s="112">
        <f t="shared" ref="D7:D18" ca="1" si="0">SUM(E7:J7)</f>
        <v>0</v>
      </c>
      <c r="E7" s="113">
        <f ca="1">Table1_Totals!E7</f>
        <v>0</v>
      </c>
      <c r="F7" s="114"/>
      <c r="G7" s="113">
        <f ca="1">Table1_Totals!G7</f>
        <v>0</v>
      </c>
      <c r="H7" s="113">
        <f ca="1">Table1_Totals!H7</f>
        <v>0</v>
      </c>
      <c r="I7" s="114"/>
      <c r="J7" s="113">
        <f ca="1">Table1_Totals!J7</f>
        <v>0</v>
      </c>
      <c r="K7" s="114"/>
    </row>
    <row r="8" spans="1:11" ht="24" customHeight="1" x14ac:dyDescent="0.3">
      <c r="A8" s="178" t="s">
        <v>29</v>
      </c>
      <c r="B8" s="179"/>
      <c r="C8" s="101" t="s">
        <v>16</v>
      </c>
      <c r="D8" s="112">
        <f t="shared" ca="1" si="0"/>
        <v>0</v>
      </c>
      <c r="E8" s="113">
        <f ca="1">Table1_Totals!E8*0.9</f>
        <v>0</v>
      </c>
      <c r="F8" s="114"/>
      <c r="G8" s="113">
        <f ca="1">Table1_Totals!G8*0.9</f>
        <v>0</v>
      </c>
      <c r="H8" s="113">
        <f ca="1">Table1_Totals!H8*0.9</f>
        <v>0</v>
      </c>
      <c r="I8" s="114"/>
      <c r="J8" s="113">
        <f ca="1">Table1_Totals!J8*0.9</f>
        <v>0</v>
      </c>
      <c r="K8" s="114"/>
    </row>
    <row r="9" spans="1:11" ht="24" customHeight="1" x14ac:dyDescent="0.3">
      <c r="A9" s="178" t="s">
        <v>156</v>
      </c>
      <c r="B9" s="179"/>
      <c r="C9" s="101" t="s">
        <v>16</v>
      </c>
      <c r="D9" s="112">
        <f t="shared" ca="1" si="0"/>
        <v>0</v>
      </c>
      <c r="E9" s="113" t="str">
        <f ca="1">IF(Table1_Totals!E9&lt;&gt;0,IF(Table1_Totals!$K9&lt;&gt;0,Table1_Totals!E9*Table1_Totals!$K9/1000,"Please check CV"),"0,000")</f>
        <v>0,000</v>
      </c>
      <c r="F9" s="114"/>
      <c r="G9" s="113" t="str">
        <f ca="1">IF(Table1_Totals!G9&lt;&gt;0,IF(Table1_Totals!$K9&lt;&gt;0,Table1_Totals!G9*Table1_Totals!$K$9/1000,"Please check CV"),"0,000")</f>
        <v>0,000</v>
      </c>
      <c r="H9" s="113" t="str">
        <f ca="1">IF(Table1_Totals!H9&lt;&gt;0,IF(Table1_Totals!$K9&lt;&gt;0,Table1_Totals!H9*Table1_Totals!$K$9/1000,"Please check CV"),"0,000")</f>
        <v>0,000</v>
      </c>
      <c r="I9" s="114"/>
      <c r="J9" s="113" t="str">
        <f ca="1">IF(Table1_Totals!J9&lt;&gt;0,IF(Table1_Totals!$K9&lt;&gt;0,Table1_Totals!J9*Table1_Totals!$K$9/1000,"Please check CV"),"0,000")</f>
        <v>0,000</v>
      </c>
      <c r="K9" s="115">
        <f ca="1">Table1_Totals!K9</f>
        <v>29500</v>
      </c>
    </row>
    <row r="10" spans="1:11" ht="24" customHeight="1" x14ac:dyDescent="0.3">
      <c r="A10" s="178" t="s">
        <v>42</v>
      </c>
      <c r="B10" s="179"/>
      <c r="C10" s="101" t="s">
        <v>16</v>
      </c>
      <c r="D10" s="112">
        <f t="shared" ca="1" si="0"/>
        <v>4050.9718401669625</v>
      </c>
      <c r="E10" s="113">
        <f ca="1">IF(Table1_Totals!E10&lt;&gt;0,IF(Table1_Totals!$K10&lt;&gt;0,Table1_Totals!E10*Table1_Totals!$K10/1000,"Please check CV"),"0,000")</f>
        <v>3099.4492255625223</v>
      </c>
      <c r="F10" s="114"/>
      <c r="G10" s="113">
        <f ca="1">IF(Table1_Totals!G10&lt;&gt;0,IF(Table1_Totals!$K10&lt;&gt;0,Table1_Totals!G10*Table1_Totals!$K10/1000,"Please check CV"),"0,000")</f>
        <v>287.05093251443981</v>
      </c>
      <c r="H10" s="113">
        <f ca="1">IF(Table1_Totals!H10&lt;&gt;0,IF(Table1_Totals!$K10&lt;&gt;0,Table1_Totals!H10*Table1_Totals!$K10/1000,"Please check CV"),"0,000")</f>
        <v>664.47168209000006</v>
      </c>
      <c r="I10" s="114"/>
      <c r="J10" s="113" t="str">
        <f ca="1">IF(Table1_Totals!J10&lt;&gt;0,IF(Table1_Totals!$K10&lt;&gt;0,Table1_Totals!J10*Table1_Totals!$K10/1000,"Please check CV"),"0,000")</f>
        <v>0,000</v>
      </c>
      <c r="K10" s="115">
        <f ca="1">Table1_Totals!K10</f>
        <v>44423</v>
      </c>
    </row>
    <row r="11" spans="1:11" s="33" customFormat="1" ht="15" customHeight="1" x14ac:dyDescent="0.3">
      <c r="A11" s="177" t="s">
        <v>18</v>
      </c>
      <c r="B11" s="10" t="s">
        <v>21</v>
      </c>
      <c r="C11" s="11" t="s">
        <v>16</v>
      </c>
      <c r="D11" s="116">
        <f t="shared" ca="1" si="0"/>
        <v>1345.5840617999997</v>
      </c>
      <c r="E11" s="117">
        <f ca="1">IF(Table1_Totals!E11&lt;&gt;0,IF(Table1_Totals!$K11&lt;&gt;0,Table1_Totals!E11*Table1_Totals!$K11/1000,"Please check CV"),"0,000")</f>
        <v>548.20108749999986</v>
      </c>
      <c r="F11" s="118"/>
      <c r="G11" s="117">
        <f ca="1">IF(Table1_Totals!G11&lt;&gt;0,IF(Table1_Totals!$K11&lt;&gt;0,Table1_Totals!G11*Table1_Totals!$K11/1000,"Please check CV"),"0,000")</f>
        <v>89.877615300000002</v>
      </c>
      <c r="H11" s="117">
        <f ca="1">IF(Table1_Totals!H11&lt;&gt;0,IF(Table1_Totals!$K11&lt;&gt;0,Table1_Totals!H11*Table1_Totals!$K11/1000,"Please check CV"),"0,000")</f>
        <v>707.50535899999988</v>
      </c>
      <c r="I11" s="118"/>
      <c r="J11" s="117" t="str">
        <f ca="1">IF(Table1_Totals!J11&lt;&gt;0,IF(Table1_Totals!$K11&lt;&gt;0,Table1_Totals!J11*Table1_Totals!$K11/1000,"Please check CV"),"0,000")</f>
        <v>0,000</v>
      </c>
      <c r="K11" s="119">
        <f ca="1">Table1_Totals!K11</f>
        <v>47300</v>
      </c>
    </row>
    <row r="12" spans="1:11" s="33" customFormat="1" ht="15" customHeight="1" x14ac:dyDescent="0.3">
      <c r="A12" s="177"/>
      <c r="B12" s="10" t="s">
        <v>22</v>
      </c>
      <c r="C12" s="11" t="s">
        <v>16</v>
      </c>
      <c r="D12" s="116">
        <f t="shared" ca="1" si="0"/>
        <v>407.29619998248006</v>
      </c>
      <c r="E12" s="117">
        <f ca="1">IF(Table1_Totals!E12&lt;&gt;0,IF(Table1_Totals!$K12&lt;&gt;0,Table1_Totals!E12*Table1_Totals!$K12/1000,"Please check CV"),"0,000")</f>
        <v>389.97171811920003</v>
      </c>
      <c r="F12" s="118"/>
      <c r="G12" s="117">
        <f ca="1">IF(Table1_Totals!G12&lt;&gt;0,IF(Table1_Totals!$K12&lt;&gt;0,Table1_Totals!G12*Table1_Totals!$K12/1000,"Please check CV"),"0,000")</f>
        <v>17.324481863280003</v>
      </c>
      <c r="H12" s="117" t="str">
        <f ca="1">IF(Table1_Totals!H12&lt;&gt;0,IF(Table1_Totals!$K12&lt;&gt;0,Table1_Totals!H12*Table1_Totals!$K12/1000,"Please check CV"),"0,000")</f>
        <v>0,000</v>
      </c>
      <c r="I12" s="118"/>
      <c r="J12" s="117" t="str">
        <f ca="1">IF(Table1_Totals!J12&lt;&gt;0,IF(Table1_Totals!$K12&lt;&gt;0,Table1_Totals!J12*Table1_Totals!$K12/1000,"Please check CV"),"0,000")</f>
        <v>0,000</v>
      </c>
      <c r="K12" s="119">
        <f ca="1">Table1_Totals!K12</f>
        <v>43800</v>
      </c>
    </row>
    <row r="13" spans="1:11" s="33" customFormat="1" ht="15" customHeight="1" x14ac:dyDescent="0.3">
      <c r="A13" s="177"/>
      <c r="B13" s="10" t="s">
        <v>23</v>
      </c>
      <c r="C13" s="11" t="s">
        <v>16</v>
      </c>
      <c r="D13" s="116">
        <f t="shared" ca="1" si="0"/>
        <v>2298.0919998709996</v>
      </c>
      <c r="E13" s="117">
        <f ca="1">IF(Table1_Totals!E13&lt;&gt;0,IF(Table1_Totals!$K13&lt;&gt;0,Table1_Totals!E13*Table1_Totals!$K13/1000,"Please check CV"),"0,000")</f>
        <v>2118.9511331899998</v>
      </c>
      <c r="F13" s="118"/>
      <c r="G13" s="117">
        <f ca="1">IF(Table1_Totals!G13&lt;&gt;0,IF(Table1_Totals!$K13&lt;&gt;0,Table1_Totals!G13*Table1_Totals!$K13/1000,"Please check CV"),"0,000")</f>
        <v>179.14086668099998</v>
      </c>
      <c r="H13" s="117" t="str">
        <f ca="1">IF(Table1_Totals!H13&lt;&gt;0,IF(Table1_Totals!$K13&lt;&gt;0,Table1_Totals!H13*Table1_Totals!$K13/1000,"Please check CV"),"0,000")</f>
        <v>0,000</v>
      </c>
      <c r="I13" s="118"/>
      <c r="J13" s="117" t="str">
        <f ca="1">IF(Table1_Totals!J13&lt;&gt;0,IF(Table1_Totals!$K13&lt;&gt;0,Table1_Totals!J13*Table1_Totals!$K13/1000,"Please check CV"),"0,000")</f>
        <v>0,000</v>
      </c>
      <c r="K13" s="119">
        <f ca="1">Table1_Totals!K13</f>
        <v>43000</v>
      </c>
    </row>
    <row r="14" spans="1:11" ht="24" customHeight="1" x14ac:dyDescent="0.3">
      <c r="A14" s="178" t="s">
        <v>43</v>
      </c>
      <c r="B14" s="179"/>
      <c r="C14" s="101" t="s">
        <v>16</v>
      </c>
      <c r="D14" s="112">
        <f t="shared" ca="1" si="0"/>
        <v>3752.4381100000001</v>
      </c>
      <c r="E14" s="113">
        <f ca="1">Table1_Totals!E14</f>
        <v>1178.75</v>
      </c>
      <c r="F14" s="114"/>
      <c r="G14" s="113">
        <f ca="1">Table1_Totals!G14</f>
        <v>2557.50711</v>
      </c>
      <c r="H14" s="113">
        <f ca="1">Table1_Totals!H14</f>
        <v>0</v>
      </c>
      <c r="I14" s="114"/>
      <c r="J14" s="113">
        <f ca="1">Table1_Totals!J14</f>
        <v>16.181000000000001</v>
      </c>
      <c r="K14" s="114"/>
    </row>
    <row r="15" spans="1:11" s="33" customFormat="1" ht="15" customHeight="1" x14ac:dyDescent="0.3">
      <c r="A15" s="177" t="s">
        <v>18</v>
      </c>
      <c r="B15" s="10" t="s">
        <v>26</v>
      </c>
      <c r="C15" s="11" t="s">
        <v>16</v>
      </c>
      <c r="D15" s="116">
        <f t="shared" ca="1" si="0"/>
        <v>2548.5839999999998</v>
      </c>
      <c r="E15" s="117">
        <f ca="1">Table1_Totals!E15</f>
        <v>0</v>
      </c>
      <c r="F15" s="118"/>
      <c r="G15" s="117">
        <f ca="1">Table1_Totals!G15</f>
        <v>2548.5839999999998</v>
      </c>
      <c r="H15" s="117">
        <f ca="1">Table1_Totals!H15</f>
        <v>0</v>
      </c>
      <c r="I15" s="118"/>
      <c r="J15" s="117">
        <f ca="1">Table1_Totals!J15</f>
        <v>0</v>
      </c>
      <c r="K15" s="118"/>
    </row>
    <row r="16" spans="1:11" s="33" customFormat="1" ht="15" customHeight="1" x14ac:dyDescent="0.3">
      <c r="A16" s="177"/>
      <c r="B16" s="10" t="s">
        <v>27</v>
      </c>
      <c r="C16" s="11" t="s">
        <v>16</v>
      </c>
      <c r="D16" s="116">
        <f t="shared" ca="1" si="0"/>
        <v>709.19899499999997</v>
      </c>
      <c r="E16" s="117">
        <f ca="1">Table1_Totals!E16</f>
        <v>692.60830499999997</v>
      </c>
      <c r="F16" s="118"/>
      <c r="G16" s="117">
        <f ca="1">Table1_Totals!G16</f>
        <v>8.9231099999999994</v>
      </c>
      <c r="H16" s="117">
        <f ca="1">Table1_Totals!H16</f>
        <v>0</v>
      </c>
      <c r="I16" s="118"/>
      <c r="J16" s="117">
        <f ca="1">Table1_Totals!J16</f>
        <v>7.6675800000000001</v>
      </c>
      <c r="K16" s="118"/>
    </row>
    <row r="17" spans="1:11" s="33" customFormat="1" ht="15" customHeight="1" x14ac:dyDescent="0.3">
      <c r="A17" s="177"/>
      <c r="B17" s="10" t="s">
        <v>28</v>
      </c>
      <c r="C17" s="11"/>
      <c r="D17" s="116">
        <f t="shared" ref="D17" ca="1" si="1">SUM(E17:J17)</f>
        <v>0</v>
      </c>
      <c r="E17" s="117">
        <f ca="1">Table1_Totals!E17</f>
        <v>0</v>
      </c>
      <c r="F17" s="118"/>
      <c r="G17" s="117">
        <f ca="1">Table1_Totals!G17</f>
        <v>0</v>
      </c>
      <c r="H17" s="117">
        <f ca="1">Table1_Totals!H17</f>
        <v>0</v>
      </c>
      <c r="I17" s="118"/>
      <c r="J17" s="117">
        <f ca="1">Table1_Totals!J17</f>
        <v>0</v>
      </c>
      <c r="K17" s="118"/>
    </row>
    <row r="18" spans="1:11" s="33" customFormat="1" ht="15" customHeight="1" x14ac:dyDescent="0.3">
      <c r="A18" s="177"/>
      <c r="B18" s="33" t="s">
        <v>184</v>
      </c>
      <c r="C18" s="11" t="s">
        <v>16</v>
      </c>
      <c r="D18" s="116">
        <f t="shared" ca="1" si="0"/>
        <v>421.226</v>
      </c>
      <c r="E18" s="117">
        <f ca="1">Table1_Totals!E18</f>
        <v>421.226</v>
      </c>
      <c r="F18" s="118"/>
      <c r="G18" s="117">
        <f ca="1">Table1_Totals!G18</f>
        <v>0</v>
      </c>
      <c r="H18" s="117">
        <f ca="1">Table1_Totals!H18</f>
        <v>0</v>
      </c>
      <c r="I18" s="118"/>
      <c r="J18" s="117">
        <f ca="1">Table1_Totals!J18</f>
        <v>0</v>
      </c>
      <c r="K18" s="118"/>
    </row>
    <row r="19" spans="1:11" ht="24" customHeight="1" x14ac:dyDescent="0.3">
      <c r="A19" s="178" t="s">
        <v>171</v>
      </c>
      <c r="B19" s="179"/>
      <c r="C19" s="101" t="s">
        <v>16</v>
      </c>
      <c r="D19" s="112">
        <f t="shared" ref="D19" ca="1" si="2">SUM(E19:J19)</f>
        <v>13881.210746566961</v>
      </c>
      <c r="E19" s="113">
        <f ca="1">SUM(E6:E10,E14)</f>
        <v>4918.6035531625221</v>
      </c>
      <c r="F19" s="113">
        <f t="shared" ref="F19:J19" ca="1" si="3">SUM(F6:F10,F14)</f>
        <v>1576.2691152</v>
      </c>
      <c r="G19" s="113">
        <f t="shared" ca="1" si="3"/>
        <v>3322.2442493144399</v>
      </c>
      <c r="H19" s="113">
        <f t="shared" ca="1" si="3"/>
        <v>1016.80543889</v>
      </c>
      <c r="I19" s="113">
        <f t="shared" ca="1" si="3"/>
        <v>3031.1073900000001</v>
      </c>
      <c r="J19" s="113">
        <f t="shared" ca="1" si="3"/>
        <v>16.181000000000001</v>
      </c>
      <c r="K19" s="114"/>
    </row>
    <row r="20" spans="1:11" ht="21" customHeight="1" x14ac:dyDescent="0.3">
      <c r="A20" s="34"/>
      <c r="B20" s="34"/>
      <c r="C20" s="92" t="s">
        <v>157</v>
      </c>
      <c r="D20" s="93" t="str">
        <f ca="1">IF(ABS(SUM(D6:D10,D14)-D19)&gt;0.01,"check values","")</f>
        <v/>
      </c>
      <c r="E20" s="93" t="str">
        <f t="shared" ref="E20:J20" ca="1" si="4">IF(SUM(E6:E10,E14)&lt;&gt;E19,"check values","")</f>
        <v/>
      </c>
      <c r="F20" s="93" t="str">
        <f t="shared" ca="1" si="4"/>
        <v/>
      </c>
      <c r="G20" s="93" t="str">
        <f t="shared" ca="1" si="4"/>
        <v/>
      </c>
      <c r="H20" s="93" t="str">
        <f t="shared" ca="1" si="4"/>
        <v/>
      </c>
      <c r="I20" s="93"/>
      <c r="J20" s="93" t="str">
        <f t="shared" ca="1" si="4"/>
        <v/>
      </c>
      <c r="K20" s="93"/>
    </row>
    <row r="21" spans="1:11" x14ac:dyDescent="0.3">
      <c r="D21" s="94"/>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30480</xdr:colOff>
                    <xdr:row>19</xdr:row>
                    <xdr:rowOff>38100</xdr:rowOff>
                  </from>
                  <to>
                    <xdr:col>1</xdr:col>
                    <xdr:colOff>1028700</xdr:colOff>
                    <xdr:row>22</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D19"/>
  <sheetViews>
    <sheetView showGridLines="0" zoomScale="90" zoomScaleNormal="90" workbookViewId="0">
      <pane xSplit="3" topLeftCell="F1" activePane="topRight" state="frozen"/>
      <selection activeCell="DS1" sqref="DS1:ED1048576"/>
      <selection pane="topRight" activeCell="C8" sqref="C8"/>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c r="E6" s="56"/>
      <c r="F6" s="56"/>
      <c r="G6" s="56"/>
      <c r="H6" s="56"/>
      <c r="I6" s="56"/>
      <c r="J6" s="56"/>
      <c r="K6" s="56"/>
      <c r="L6" s="56">
        <f>177.890091</f>
        <v>177.89009100000001</v>
      </c>
      <c r="M6" s="56"/>
      <c r="N6" s="56"/>
      <c r="O6" s="56"/>
      <c r="DS6" s="4" t="str">
        <f>VLOOKUP(Cover!$D$15, Country_list!$B$3:$C$44, 2, 0)</f>
        <v>CY</v>
      </c>
      <c r="DT6" s="32" t="s">
        <v>289</v>
      </c>
      <c r="DV6" s="32" t="s">
        <v>302</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f>SUM(L11:L13)</f>
        <v>69.771272214000007</v>
      </c>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f>11.589875</f>
        <v>11.589874999999999</v>
      </c>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f>8.903463884</f>
        <v>8.9034638840000007</v>
      </c>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v>49.277933330000003</v>
      </c>
      <c r="M13" s="105"/>
      <c r="N13" s="105"/>
      <c r="O13" s="105"/>
      <c r="DT13" s="33" t="s">
        <v>283</v>
      </c>
      <c r="EB13" s="33" t="s">
        <v>292</v>
      </c>
      <c r="ED13" s="33" t="s">
        <v>293</v>
      </c>
    </row>
    <row r="14" spans="1:134" ht="24" customHeight="1" x14ac:dyDescent="0.3">
      <c r="A14" s="157" t="s">
        <v>24</v>
      </c>
      <c r="B14" s="181"/>
      <c r="C14" s="9" t="s">
        <v>25</v>
      </c>
      <c r="D14" s="57"/>
      <c r="E14" s="54"/>
      <c r="F14" s="54"/>
      <c r="G14" s="54"/>
      <c r="H14" s="54"/>
      <c r="I14" s="54"/>
      <c r="J14" s="54"/>
      <c r="K14" s="54"/>
      <c r="L14" s="54">
        <v>1178.75</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56"/>
      <c r="B16" s="102" t="s">
        <v>27</v>
      </c>
      <c r="C16" s="103" t="s">
        <v>25</v>
      </c>
      <c r="D16" s="104"/>
      <c r="E16" s="105"/>
      <c r="F16" s="105"/>
      <c r="G16" s="105"/>
      <c r="H16" s="105"/>
      <c r="I16" s="105"/>
      <c r="J16" s="105"/>
      <c r="K16" s="105"/>
      <c r="L16" s="105">
        <f>692.608305</f>
        <v>692.60830499999997</v>
      </c>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184</v>
      </c>
      <c r="C18" s="103" t="s">
        <v>25</v>
      </c>
      <c r="D18" s="104"/>
      <c r="E18" s="104"/>
      <c r="F18" s="104"/>
      <c r="G18" s="104"/>
      <c r="H18" s="104"/>
      <c r="I18" s="104"/>
      <c r="J18" s="104"/>
      <c r="K18" s="104"/>
      <c r="L18" s="104">
        <v>421.226</v>
      </c>
      <c r="M18" s="104"/>
      <c r="N18" s="104"/>
      <c r="O18" s="104"/>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31496062992125984" right="0.31496062992125984"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22860</xdr:colOff>
                    <xdr:row>18</xdr:row>
                    <xdr:rowOff>30480</xdr:rowOff>
                  </from>
                  <to>
                    <xdr:col>1</xdr:col>
                    <xdr:colOff>1028700</xdr:colOff>
                    <xdr:row>21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ED19"/>
  <sheetViews>
    <sheetView showGridLines="0" zoomScale="90" zoomScaleNormal="90" workbookViewId="0">
      <pane xSplit="3" topLeftCell="D1" activePane="topRight" state="frozen"/>
      <selection activeCell="DS1" sqref="DS1:ED1048576"/>
      <selection pane="topRight" activeCell="I31" sqref="I31"/>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31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54"/>
      <c r="C6" s="8" t="s">
        <v>14</v>
      </c>
      <c r="D6" s="55"/>
      <c r="E6" s="56"/>
      <c r="F6" s="56"/>
      <c r="G6" s="56"/>
      <c r="H6" s="56"/>
      <c r="I6" s="56"/>
      <c r="J6" s="56"/>
      <c r="K6" s="56"/>
      <c r="L6" s="56">
        <v>437.852532</v>
      </c>
      <c r="M6" s="56"/>
      <c r="N6" s="56"/>
      <c r="O6" s="56"/>
      <c r="DS6" s="4" t="str">
        <f>VLOOKUP(Cover!$D$15, Country_list!$B$3:$C$44, 2, 0)</f>
        <v>CY</v>
      </c>
      <c r="DT6" s="32" t="s">
        <v>289</v>
      </c>
      <c r="DV6" s="32" t="s">
        <v>303</v>
      </c>
      <c r="EB6" s="32" t="s">
        <v>291</v>
      </c>
      <c r="ED6" s="32" t="s">
        <v>294</v>
      </c>
    </row>
    <row r="7" spans="1:134" ht="24" customHeight="1" x14ac:dyDescent="0.3">
      <c r="A7" s="184" t="s">
        <v>15</v>
      </c>
      <c r="B7" s="185"/>
      <c r="C7" s="120" t="s">
        <v>25</v>
      </c>
      <c r="D7" s="121"/>
      <c r="E7" s="122"/>
      <c r="F7" s="122"/>
      <c r="G7" s="122"/>
      <c r="H7" s="122"/>
      <c r="I7" s="122"/>
      <c r="J7" s="122"/>
      <c r="K7" s="122"/>
      <c r="L7" s="122"/>
      <c r="M7" s="122"/>
      <c r="N7" s="122"/>
      <c r="O7" s="122"/>
      <c r="DT7" s="32" t="s">
        <v>290</v>
      </c>
      <c r="EB7" s="32" t="s">
        <v>291</v>
      </c>
      <c r="ED7" s="32" t="s">
        <v>295</v>
      </c>
    </row>
    <row r="8" spans="1:134" ht="24" customHeight="1" x14ac:dyDescent="0.3">
      <c r="A8" s="184" t="s">
        <v>29</v>
      </c>
      <c r="B8" s="185"/>
      <c r="C8" s="120" t="s">
        <v>17</v>
      </c>
      <c r="D8" s="121"/>
      <c r="E8" s="122"/>
      <c r="F8" s="122"/>
      <c r="G8" s="122"/>
      <c r="H8" s="122"/>
      <c r="I8" s="122"/>
      <c r="J8" s="122"/>
      <c r="K8" s="122"/>
      <c r="L8" s="122"/>
      <c r="M8" s="122"/>
      <c r="N8" s="122"/>
      <c r="O8" s="122"/>
      <c r="DT8" s="32" t="s">
        <v>231</v>
      </c>
      <c r="EB8" s="32" t="s">
        <v>291</v>
      </c>
      <c r="ED8" s="32" t="s">
        <v>296</v>
      </c>
    </row>
    <row r="9" spans="1:134" ht="24" customHeight="1" x14ac:dyDescent="0.3">
      <c r="A9" s="184" t="s">
        <v>156</v>
      </c>
      <c r="B9" s="185"/>
      <c r="C9" s="120" t="s">
        <v>19</v>
      </c>
      <c r="D9" s="121"/>
      <c r="E9" s="122"/>
      <c r="F9" s="122"/>
      <c r="G9" s="122"/>
      <c r="H9" s="122"/>
      <c r="I9" s="122"/>
      <c r="J9" s="122"/>
      <c r="K9" s="122"/>
      <c r="L9" s="122"/>
      <c r="M9" s="122"/>
      <c r="N9" s="122"/>
      <c r="O9" s="122"/>
      <c r="DT9" s="32" t="s">
        <v>279</v>
      </c>
      <c r="EB9" s="32" t="s">
        <v>292</v>
      </c>
      <c r="ED9" s="32" t="s">
        <v>293</v>
      </c>
    </row>
    <row r="10" spans="1:134" ht="24" customHeight="1" x14ac:dyDescent="0.3">
      <c r="A10" s="184" t="s">
        <v>20</v>
      </c>
      <c r="B10" s="185"/>
      <c r="C10" s="120" t="s">
        <v>19</v>
      </c>
      <c r="D10" s="121"/>
      <c r="E10" s="122"/>
      <c r="F10" s="122"/>
      <c r="G10" s="122"/>
      <c r="H10" s="122"/>
      <c r="I10" s="122"/>
      <c r="J10" s="122"/>
      <c r="K10" s="122"/>
      <c r="L10" s="122"/>
      <c r="M10" s="122"/>
      <c r="N10" s="122"/>
      <c r="O10" s="122"/>
      <c r="DT10" s="32" t="s">
        <v>280</v>
      </c>
      <c r="EB10" s="32" t="s">
        <v>292</v>
      </c>
      <c r="ED10" s="32" t="s">
        <v>293</v>
      </c>
    </row>
    <row r="11" spans="1:134" s="33" customFormat="1" ht="15" customHeight="1" x14ac:dyDescent="0.3">
      <c r="A11" s="186" t="s">
        <v>18</v>
      </c>
      <c r="B11" s="123" t="s">
        <v>21</v>
      </c>
      <c r="C11" s="124" t="s">
        <v>19</v>
      </c>
      <c r="D11" s="125"/>
      <c r="E11" s="126"/>
      <c r="F11" s="126"/>
      <c r="G11" s="126"/>
      <c r="H11" s="126"/>
      <c r="I11" s="126"/>
      <c r="J11" s="126"/>
      <c r="K11" s="126"/>
      <c r="L11" s="126"/>
      <c r="M11" s="126"/>
      <c r="N11" s="126"/>
      <c r="O11" s="126"/>
      <c r="DT11" s="33" t="s">
        <v>281</v>
      </c>
      <c r="EB11" s="33" t="s">
        <v>292</v>
      </c>
      <c r="ED11" s="33" t="s">
        <v>293</v>
      </c>
    </row>
    <row r="12" spans="1:134" s="33" customFormat="1" ht="15" customHeight="1" x14ac:dyDescent="0.3">
      <c r="A12" s="186"/>
      <c r="B12" s="123" t="s">
        <v>22</v>
      </c>
      <c r="C12" s="124" t="s">
        <v>19</v>
      </c>
      <c r="D12" s="125"/>
      <c r="E12" s="126"/>
      <c r="F12" s="126"/>
      <c r="G12" s="126"/>
      <c r="H12" s="126"/>
      <c r="I12" s="126"/>
      <c r="J12" s="126"/>
      <c r="K12" s="126"/>
      <c r="L12" s="126"/>
      <c r="M12" s="126"/>
      <c r="N12" s="126"/>
      <c r="O12" s="126"/>
      <c r="DT12" s="33" t="s">
        <v>282</v>
      </c>
      <c r="EB12" s="33" t="s">
        <v>292</v>
      </c>
      <c r="ED12" s="33" t="s">
        <v>293</v>
      </c>
    </row>
    <row r="13" spans="1:134" s="33" customFormat="1" ht="15" customHeight="1" x14ac:dyDescent="0.3">
      <c r="A13" s="186"/>
      <c r="B13" s="123" t="s">
        <v>23</v>
      </c>
      <c r="C13" s="124" t="s">
        <v>19</v>
      </c>
      <c r="D13" s="125"/>
      <c r="E13" s="126"/>
      <c r="F13" s="126"/>
      <c r="G13" s="126"/>
      <c r="H13" s="126"/>
      <c r="I13" s="126"/>
      <c r="J13" s="126"/>
      <c r="K13" s="126"/>
      <c r="L13" s="126"/>
      <c r="M13" s="126"/>
      <c r="N13" s="126"/>
      <c r="O13" s="126"/>
      <c r="DT13" s="33" t="s">
        <v>283</v>
      </c>
      <c r="EB13" s="33" t="s">
        <v>292</v>
      </c>
      <c r="ED13" s="33" t="s">
        <v>293</v>
      </c>
    </row>
    <row r="14" spans="1:134" ht="24" customHeight="1" x14ac:dyDescent="0.3">
      <c r="A14" s="184" t="s">
        <v>24</v>
      </c>
      <c r="B14" s="185"/>
      <c r="C14" s="120" t="s">
        <v>25</v>
      </c>
      <c r="D14" s="121"/>
      <c r="E14" s="122"/>
      <c r="F14" s="122"/>
      <c r="G14" s="122"/>
      <c r="H14" s="122"/>
      <c r="I14" s="122"/>
      <c r="J14" s="122"/>
      <c r="K14" s="122"/>
      <c r="L14" s="122"/>
      <c r="M14" s="122"/>
      <c r="N14" s="122"/>
      <c r="O14" s="122"/>
      <c r="DT14" s="32" t="s">
        <v>284</v>
      </c>
      <c r="EB14" s="32" t="s">
        <v>291</v>
      </c>
      <c r="ED14" s="32" t="s">
        <v>295</v>
      </c>
    </row>
    <row r="15" spans="1:134" s="33" customFormat="1" ht="15" customHeight="1" x14ac:dyDescent="0.3">
      <c r="A15" s="186" t="s">
        <v>18</v>
      </c>
      <c r="B15" s="123" t="s">
        <v>26</v>
      </c>
      <c r="C15" s="124" t="s">
        <v>25</v>
      </c>
      <c r="D15" s="125"/>
      <c r="E15" s="126"/>
      <c r="F15" s="126"/>
      <c r="G15" s="126"/>
      <c r="H15" s="126"/>
      <c r="I15" s="126"/>
      <c r="J15" s="126"/>
      <c r="K15" s="126"/>
      <c r="L15" s="126"/>
      <c r="M15" s="126"/>
      <c r="N15" s="126"/>
      <c r="O15" s="126"/>
      <c r="DT15" s="33" t="s">
        <v>285</v>
      </c>
      <c r="EB15" s="33" t="s">
        <v>291</v>
      </c>
      <c r="ED15" s="33" t="s">
        <v>295</v>
      </c>
    </row>
    <row r="16" spans="1:134" s="33" customFormat="1" ht="15" customHeight="1" x14ac:dyDescent="0.3">
      <c r="A16" s="186"/>
      <c r="B16" s="123" t="s">
        <v>27</v>
      </c>
      <c r="C16" s="124" t="s">
        <v>25</v>
      </c>
      <c r="D16" s="125"/>
      <c r="E16" s="126"/>
      <c r="F16" s="126"/>
      <c r="G16" s="126"/>
      <c r="H16" s="126"/>
      <c r="I16" s="126"/>
      <c r="J16" s="126"/>
      <c r="K16" s="126"/>
      <c r="L16" s="126"/>
      <c r="M16" s="126"/>
      <c r="N16" s="126"/>
      <c r="O16" s="126"/>
      <c r="DT16" s="33" t="s">
        <v>286</v>
      </c>
      <c r="EB16" s="33" t="s">
        <v>291</v>
      </c>
      <c r="ED16" s="33" t="s">
        <v>295</v>
      </c>
    </row>
    <row r="17" spans="1:134" s="33" customFormat="1" ht="15" customHeight="1" x14ac:dyDescent="0.3">
      <c r="A17" s="186"/>
      <c r="B17" s="123" t="s">
        <v>28</v>
      </c>
      <c r="C17" s="124" t="s">
        <v>25</v>
      </c>
      <c r="D17" s="125"/>
      <c r="E17" s="125"/>
      <c r="F17" s="125"/>
      <c r="G17" s="125"/>
      <c r="H17" s="125"/>
      <c r="I17" s="125"/>
      <c r="J17" s="125"/>
      <c r="K17" s="125"/>
      <c r="L17" s="125"/>
      <c r="M17" s="125"/>
      <c r="N17" s="125"/>
      <c r="O17" s="125"/>
      <c r="DT17" s="33" t="s">
        <v>287</v>
      </c>
      <c r="EB17" s="33" t="s">
        <v>291</v>
      </c>
      <c r="ED17" s="33" t="s">
        <v>295</v>
      </c>
    </row>
    <row r="18" spans="1:134" s="33" customFormat="1" ht="15" customHeight="1" x14ac:dyDescent="0.3">
      <c r="A18" s="186"/>
      <c r="B18" s="123" t="s">
        <v>184</v>
      </c>
      <c r="C18" s="124" t="s">
        <v>25</v>
      </c>
      <c r="D18" s="125"/>
      <c r="E18" s="125"/>
      <c r="F18" s="125"/>
      <c r="G18" s="125"/>
      <c r="H18" s="125"/>
      <c r="I18" s="125"/>
      <c r="J18" s="125"/>
      <c r="K18" s="125"/>
      <c r="L18" s="125"/>
      <c r="M18" s="125"/>
      <c r="N18" s="125"/>
      <c r="O18" s="12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11811023622047245" right="0.11811023622047245"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I1" activePane="topRight" state="frozen"/>
      <selection activeCell="DS1" sqref="DS1:ED1048576"/>
      <selection pane="topRight" activeCell="F32" sqref="F32"/>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8</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c r="E6" s="56"/>
      <c r="F6" s="56"/>
      <c r="G6" s="56"/>
      <c r="H6" s="56"/>
      <c r="I6" s="56"/>
      <c r="J6" s="56"/>
      <c r="K6" s="56"/>
      <c r="L6" s="56">
        <v>132.69061300000001</v>
      </c>
      <c r="M6" s="56"/>
      <c r="N6" s="56"/>
      <c r="O6" s="56"/>
      <c r="DS6" s="4" t="str">
        <f>VLOOKUP(Cover!$D$15, Country_list!$B$3:$C$44, 2, 0)</f>
        <v>CY</v>
      </c>
      <c r="DT6" s="32" t="s">
        <v>289</v>
      </c>
      <c r="DV6" s="32" t="s">
        <v>304</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f>SUM(L11:L13)</f>
        <v>6.4617637826000003</v>
      </c>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v>1.900161</v>
      </c>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f>0.3955361156</f>
        <v>0.39553611560000002</v>
      </c>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f>4.166066667</f>
        <v>4.1660666669999999</v>
      </c>
      <c r="M13" s="105"/>
      <c r="N13" s="105"/>
      <c r="O13" s="105"/>
      <c r="DT13" s="33" t="s">
        <v>283</v>
      </c>
      <c r="EB13" s="33" t="s">
        <v>292</v>
      </c>
      <c r="ED13" s="33" t="s">
        <v>293</v>
      </c>
    </row>
    <row r="14" spans="1:134" ht="24" customHeight="1" x14ac:dyDescent="0.3">
      <c r="A14" s="157" t="s">
        <v>24</v>
      </c>
      <c r="B14" s="181"/>
      <c r="C14" s="9" t="s">
        <v>25</v>
      </c>
      <c r="D14" s="57"/>
      <c r="E14" s="54"/>
      <c r="F14" s="54"/>
      <c r="G14" s="54"/>
      <c r="H14" s="54"/>
      <c r="I14" s="54"/>
      <c r="J14" s="54"/>
      <c r="K14" s="54"/>
      <c r="L14" s="54">
        <f>SUM(L15:L18)</f>
        <v>2557.50711</v>
      </c>
      <c r="M14" s="54"/>
      <c r="N14" s="54"/>
      <c r="O14" s="54"/>
      <c r="DT14" s="32" t="s">
        <v>284</v>
      </c>
      <c r="EB14" s="32" t="s">
        <v>291</v>
      </c>
      <c r="ED14" s="32" t="s">
        <v>295</v>
      </c>
    </row>
    <row r="15" spans="1:134" s="33" customFormat="1" ht="15" customHeight="1" x14ac:dyDescent="0.3">
      <c r="A15" s="156" t="s">
        <v>18</v>
      </c>
      <c r="B15" s="102" t="s">
        <v>26</v>
      </c>
      <c r="C15" s="103" t="s">
        <v>25</v>
      </c>
      <c r="D15" s="104"/>
      <c r="E15" s="105"/>
      <c r="F15" s="105"/>
      <c r="G15" s="105"/>
      <c r="H15" s="105"/>
      <c r="I15" s="105"/>
      <c r="J15" s="105"/>
      <c r="K15" s="105"/>
      <c r="L15" s="105">
        <f>2548.584</f>
        <v>2548.5839999999998</v>
      </c>
      <c r="M15" s="105"/>
      <c r="N15" s="105"/>
      <c r="O15" s="105"/>
      <c r="DT15" s="33" t="s">
        <v>285</v>
      </c>
      <c r="EB15" s="33" t="s">
        <v>291</v>
      </c>
      <c r="ED15" s="33" t="s">
        <v>295</v>
      </c>
    </row>
    <row r="16" spans="1:134" s="33" customFormat="1" ht="15" customHeight="1" x14ac:dyDescent="0.3">
      <c r="A16" s="156"/>
      <c r="B16" s="102" t="s">
        <v>27</v>
      </c>
      <c r="C16" s="103" t="s">
        <v>25</v>
      </c>
      <c r="D16" s="104"/>
      <c r="E16" s="105"/>
      <c r="F16" s="105"/>
      <c r="G16" s="105"/>
      <c r="H16" s="105"/>
      <c r="I16" s="105"/>
      <c r="J16" s="105"/>
      <c r="K16" s="105"/>
      <c r="L16" s="105">
        <f>8.92311</f>
        <v>8.9231099999999994</v>
      </c>
      <c r="M16" s="105"/>
      <c r="N16" s="105"/>
      <c r="O16" s="105"/>
      <c r="DT16" s="33" t="s">
        <v>286</v>
      </c>
      <c r="EB16" s="33" t="s">
        <v>291</v>
      </c>
      <c r="ED16" s="33" t="s">
        <v>295</v>
      </c>
    </row>
    <row r="17" spans="1:134" s="33" customFormat="1" ht="15" customHeight="1" x14ac:dyDescent="0.3">
      <c r="A17" s="156"/>
      <c r="B17" s="102" t="s">
        <v>28</v>
      </c>
      <c r="C17" s="103" t="s">
        <v>25</v>
      </c>
      <c r="D17" s="104"/>
      <c r="E17" s="104"/>
      <c r="F17" s="104"/>
      <c r="G17" s="104"/>
      <c r="H17" s="104"/>
      <c r="I17" s="104"/>
      <c r="J17" s="104"/>
      <c r="K17" s="104"/>
      <c r="L17" s="104"/>
      <c r="M17" s="104"/>
      <c r="N17" s="104"/>
      <c r="O17" s="104"/>
      <c r="DT17" s="33" t="s">
        <v>287</v>
      </c>
      <c r="EB17" s="33" t="s">
        <v>291</v>
      </c>
      <c r="ED17" s="33" t="s">
        <v>295</v>
      </c>
    </row>
    <row r="18" spans="1:134" s="33" customFormat="1" ht="15" customHeight="1" x14ac:dyDescent="0.3">
      <c r="A18" s="156"/>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tabSelected="1" zoomScale="90" zoomScaleNormal="90" workbookViewId="0">
      <pane xSplit="3" topLeftCell="I1" activePane="topRight" state="frozen"/>
      <selection activeCell="DS1" sqref="DS1:ED1048576"/>
      <selection pane="topRight" activeCell="E9" sqref="E9"/>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9</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80"/>
      <c r="C6" s="8" t="s">
        <v>14</v>
      </c>
      <c r="D6" s="55"/>
      <c r="E6" s="56"/>
      <c r="F6" s="56"/>
      <c r="G6" s="56"/>
      <c r="H6" s="56"/>
      <c r="I6" s="56"/>
      <c r="J6" s="56"/>
      <c r="K6" s="56"/>
      <c r="L6" s="56">
        <f>97.870488</f>
        <v>97.870487999999995</v>
      </c>
      <c r="M6" s="56"/>
      <c r="N6" s="56"/>
      <c r="O6" s="56"/>
      <c r="DS6" s="4" t="str">
        <f>VLOOKUP(Cover!$D$15, Country_list!$B$3:$C$44, 2, 0)</f>
        <v>CY</v>
      </c>
      <c r="DT6" s="32" t="s">
        <v>289</v>
      </c>
      <c r="DV6" s="32" t="s">
        <v>305</v>
      </c>
      <c r="EB6" s="32" t="s">
        <v>291</v>
      </c>
      <c r="ED6" s="32" t="s">
        <v>294</v>
      </c>
    </row>
    <row r="7" spans="1:134" ht="24" customHeight="1" x14ac:dyDescent="0.3">
      <c r="A7" s="157" t="s">
        <v>15</v>
      </c>
      <c r="B7" s="181"/>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81"/>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f>SUM(L11:L13)</f>
        <v>14.95783</v>
      </c>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f>14.95783</f>
        <v>14.95783</v>
      </c>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c r="E14" s="54"/>
      <c r="F14" s="54"/>
      <c r="G14" s="54"/>
      <c r="H14" s="54"/>
      <c r="I14" s="54"/>
      <c r="J14" s="54"/>
      <c r="K14" s="54"/>
      <c r="L14" s="54"/>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c r="E16" s="105"/>
      <c r="F16" s="105"/>
      <c r="G16" s="105"/>
      <c r="H16" s="105"/>
      <c r="I16" s="105"/>
      <c r="J16" s="105"/>
      <c r="K16" s="105"/>
      <c r="L16" s="105"/>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7"/>
  <sheetViews>
    <sheetView showGridLines="0" zoomScale="90" zoomScaleNormal="90" workbookViewId="0">
      <pane xSplit="3" topLeftCell="D1" activePane="topRight" state="frozen"/>
      <selection activeCell="DS1" sqref="DS1:ED1048576"/>
      <selection pane="topRight" sqref="A1:L6"/>
    </sheetView>
  </sheetViews>
  <sheetFormatPr defaultColWidth="9.109375" defaultRowHeight="11.4" x14ac:dyDescent="0.3"/>
  <cols>
    <col min="1" max="1" width="9.109375" style="32"/>
    <col min="2" max="2" width="54.6640625" style="32" customWidth="1"/>
    <col min="3" max="3" width="10.8867187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10</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thickBot="1" x14ac:dyDescent="0.35">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190" t="s">
        <v>13</v>
      </c>
      <c r="B6" s="191"/>
      <c r="C6" s="31" t="s">
        <v>14</v>
      </c>
      <c r="D6" s="58"/>
      <c r="E6" s="59"/>
      <c r="F6" s="59"/>
      <c r="G6" s="59"/>
      <c r="H6" s="59"/>
      <c r="I6" s="59"/>
      <c r="J6" s="59"/>
      <c r="K6" s="59"/>
      <c r="L6" s="59">
        <f>841.974275</f>
        <v>841.97427500000003</v>
      </c>
      <c r="M6" s="59"/>
      <c r="N6" s="59"/>
      <c r="O6" s="59"/>
      <c r="DS6" s="4" t="str">
        <f>VLOOKUP(Cover!$D$15, Country_list!$B$3:$C$44, 2, 0)</f>
        <v>CY</v>
      </c>
      <c r="DT6" s="32" t="s">
        <v>289</v>
      </c>
      <c r="DV6" s="138" t="s">
        <v>306</v>
      </c>
      <c r="EB6" s="32" t="s">
        <v>291</v>
      </c>
      <c r="ED6" s="32" t="s">
        <v>294</v>
      </c>
    </row>
    <row r="7" spans="1:134" ht="21" customHeight="1" x14ac:dyDescent="0.3"/>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7620</xdr:colOff>
                    <xdr:row>6</xdr:row>
                    <xdr:rowOff>7620</xdr:rowOff>
                  </from>
                  <to>
                    <xdr:col>1</xdr:col>
                    <xdr:colOff>1021080</xdr:colOff>
                    <xdr:row>9</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zoomScale="90" zoomScaleNormal="90" workbookViewId="0">
      <pane xSplit="3" topLeftCell="G1" activePane="topRight" state="frozen"/>
      <selection activeCell="DS1" sqref="DS1:ED1048576"/>
      <selection pane="topRight" activeCell="L19" sqref="L19"/>
    </sheetView>
  </sheetViews>
  <sheetFormatPr defaultColWidth="9.109375" defaultRowHeight="11.4" x14ac:dyDescent="0.3"/>
  <cols>
    <col min="1" max="1" width="9.109375" style="32"/>
    <col min="2" max="2" width="54.6640625" style="32" customWidth="1"/>
    <col min="3" max="3" width="10.6640625" style="32" customWidth="1"/>
    <col min="4" max="4" width="15.6640625" style="33" customWidth="1"/>
    <col min="5" max="15" width="15.6640625" style="32" customWidth="1"/>
    <col min="16" max="122" width="9.109375" style="32"/>
    <col min="123" max="134" width="0" style="32" hidden="1" customWidth="1"/>
    <col min="135" max="16384" width="9.109375" style="32"/>
  </cols>
  <sheetData>
    <row r="1" spans="1:134" ht="24" customHeight="1" x14ac:dyDescent="0.3">
      <c r="A1" s="159" t="s">
        <v>0</v>
      </c>
      <c r="B1" s="182"/>
      <c r="C1" s="20"/>
      <c r="D1" s="1"/>
      <c r="E1" s="2"/>
      <c r="F1" s="2"/>
      <c r="G1" s="2"/>
      <c r="H1" s="2"/>
      <c r="I1" s="2"/>
      <c r="J1" s="2"/>
      <c r="K1" s="2"/>
      <c r="L1" s="2"/>
      <c r="M1" s="2"/>
      <c r="N1" s="2"/>
      <c r="O1" s="2"/>
    </row>
    <row r="2" spans="1:134" ht="18" customHeight="1" x14ac:dyDescent="0.3">
      <c r="A2" s="161"/>
      <c r="B2" s="175"/>
      <c r="C2" s="1"/>
      <c r="D2" s="1"/>
      <c r="E2" s="5"/>
      <c r="F2" s="3"/>
      <c r="G2" s="3"/>
      <c r="H2" s="3"/>
      <c r="I2" s="3"/>
      <c r="J2" s="3"/>
      <c r="K2" s="3"/>
      <c r="L2" s="3"/>
      <c r="M2" s="3"/>
      <c r="N2" s="3"/>
      <c r="O2" s="3"/>
    </row>
    <row r="3" spans="1:134" ht="18" customHeight="1" x14ac:dyDescent="0.3">
      <c r="A3" s="163" t="s">
        <v>11</v>
      </c>
      <c r="B3" s="183"/>
      <c r="C3" s="1"/>
      <c r="D3" s="1"/>
      <c r="E3" s="5"/>
      <c r="F3" s="3"/>
      <c r="G3" s="3"/>
      <c r="H3" s="3"/>
      <c r="I3" s="3"/>
      <c r="J3" s="3"/>
      <c r="K3" s="3"/>
      <c r="L3" s="3"/>
      <c r="M3" s="3"/>
      <c r="N3" s="3"/>
      <c r="O3" s="3"/>
      <c r="DS3" s="32" t="s">
        <v>229</v>
      </c>
    </row>
    <row r="4" spans="1:134" ht="18" customHeight="1" x14ac:dyDescent="0.3">
      <c r="A4" s="174"/>
      <c r="B4" s="175"/>
      <c r="C4" s="20"/>
      <c r="D4" s="1"/>
      <c r="E4" s="5"/>
      <c r="F4" s="3"/>
      <c r="G4" s="3"/>
      <c r="H4" s="3"/>
      <c r="I4" s="3"/>
      <c r="J4" s="3"/>
      <c r="K4" s="3"/>
      <c r="L4" s="3"/>
      <c r="M4" s="3"/>
      <c r="N4" s="3"/>
      <c r="O4" s="3"/>
      <c r="DS4" s="32" t="s">
        <v>203</v>
      </c>
      <c r="DT4" s="32" t="s">
        <v>205</v>
      </c>
      <c r="DU4" s="32" t="s">
        <v>207</v>
      </c>
      <c r="DV4" s="32" t="s">
        <v>208</v>
      </c>
      <c r="DW4" s="32" t="s">
        <v>209</v>
      </c>
      <c r="DX4" s="32" t="s">
        <v>210</v>
      </c>
      <c r="DY4" s="32" t="s">
        <v>211</v>
      </c>
      <c r="DZ4" s="32" t="s">
        <v>212</v>
      </c>
      <c r="EA4" s="32" t="s">
        <v>213</v>
      </c>
      <c r="EB4" s="32" t="s">
        <v>214</v>
      </c>
      <c r="EC4" s="32" t="s">
        <v>218</v>
      </c>
      <c r="ED4" s="32" t="s">
        <v>219</v>
      </c>
    </row>
    <row r="5" spans="1:134" ht="37.5" customHeight="1" x14ac:dyDescent="0.3">
      <c r="A5" s="166" t="s">
        <v>3</v>
      </c>
      <c r="B5" s="17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54" t="s">
        <v>13</v>
      </c>
      <c r="B6" s="192"/>
      <c r="C6" s="8" t="s">
        <v>14</v>
      </c>
      <c r="D6" s="55"/>
      <c r="E6" s="56"/>
      <c r="F6" s="56"/>
      <c r="G6" s="56"/>
      <c r="H6" s="56"/>
      <c r="I6" s="56"/>
      <c r="J6" s="56"/>
      <c r="K6" s="56"/>
      <c r="L6" s="56"/>
      <c r="M6" s="56"/>
      <c r="N6" s="56"/>
      <c r="O6" s="56"/>
      <c r="DS6" s="4" t="str">
        <f>VLOOKUP(Cover!$D$15, Country_list!$B$3:$C$44, 2, 0)</f>
        <v>CY</v>
      </c>
      <c r="DT6" s="32" t="s">
        <v>289</v>
      </c>
      <c r="DV6" s="32" t="s">
        <v>307</v>
      </c>
      <c r="EB6" s="32" t="s">
        <v>291</v>
      </c>
      <c r="ED6" s="32" t="s">
        <v>294</v>
      </c>
    </row>
    <row r="7" spans="1:134" ht="24" customHeight="1" x14ac:dyDescent="0.3">
      <c r="A7" s="157" t="s">
        <v>15</v>
      </c>
      <c r="B7" s="193"/>
      <c r="C7" s="9" t="s">
        <v>25</v>
      </c>
      <c r="D7" s="57"/>
      <c r="E7" s="54"/>
      <c r="F7" s="54"/>
      <c r="G7" s="54"/>
      <c r="H7" s="54"/>
      <c r="I7" s="54"/>
      <c r="J7" s="54"/>
      <c r="K7" s="54"/>
      <c r="L7" s="54"/>
      <c r="M7" s="54"/>
      <c r="N7" s="54"/>
      <c r="O7" s="54"/>
      <c r="DT7" s="32" t="s">
        <v>290</v>
      </c>
      <c r="EB7" s="32" t="s">
        <v>291</v>
      </c>
      <c r="ED7" s="32" t="s">
        <v>295</v>
      </c>
    </row>
    <row r="8" spans="1:134" ht="24" customHeight="1" x14ac:dyDescent="0.3">
      <c r="A8" s="157" t="s">
        <v>29</v>
      </c>
      <c r="B8" s="193"/>
      <c r="C8" s="9" t="s">
        <v>17</v>
      </c>
      <c r="D8" s="57"/>
      <c r="E8" s="54"/>
      <c r="F8" s="54"/>
      <c r="G8" s="54"/>
      <c r="H8" s="54"/>
      <c r="I8" s="54"/>
      <c r="J8" s="54"/>
      <c r="K8" s="54"/>
      <c r="L8" s="54"/>
      <c r="M8" s="54"/>
      <c r="N8" s="54"/>
      <c r="O8" s="54"/>
      <c r="DT8" s="32" t="s">
        <v>231</v>
      </c>
      <c r="EB8" s="32" t="s">
        <v>291</v>
      </c>
      <c r="ED8" s="32" t="s">
        <v>296</v>
      </c>
    </row>
    <row r="9" spans="1:134" ht="24" customHeight="1" x14ac:dyDescent="0.3">
      <c r="A9" s="157" t="s">
        <v>156</v>
      </c>
      <c r="B9" s="181"/>
      <c r="C9" s="9" t="s">
        <v>19</v>
      </c>
      <c r="D9" s="57"/>
      <c r="E9" s="54"/>
      <c r="F9" s="54"/>
      <c r="G9" s="54"/>
      <c r="H9" s="54"/>
      <c r="I9" s="54"/>
      <c r="J9" s="54"/>
      <c r="K9" s="54"/>
      <c r="L9" s="54"/>
      <c r="M9" s="54"/>
      <c r="N9" s="54"/>
      <c r="O9" s="54"/>
      <c r="DT9" s="32" t="s">
        <v>279</v>
      </c>
      <c r="EB9" s="32" t="s">
        <v>292</v>
      </c>
      <c r="ED9" s="32" t="s">
        <v>293</v>
      </c>
    </row>
    <row r="10" spans="1:134" ht="24" customHeight="1" x14ac:dyDescent="0.3">
      <c r="A10" s="157" t="s">
        <v>20</v>
      </c>
      <c r="B10" s="181"/>
      <c r="C10" s="9" t="s">
        <v>19</v>
      </c>
      <c r="D10" s="57"/>
      <c r="E10" s="54"/>
      <c r="F10" s="54"/>
      <c r="G10" s="54"/>
      <c r="H10" s="54"/>
      <c r="I10" s="54"/>
      <c r="J10" s="54"/>
      <c r="K10" s="54"/>
      <c r="L10" s="54"/>
      <c r="M10" s="54"/>
      <c r="N10" s="54"/>
      <c r="O10" s="54"/>
      <c r="DT10" s="32" t="s">
        <v>280</v>
      </c>
      <c r="EB10" s="32" t="s">
        <v>292</v>
      </c>
      <c r="ED10" s="32" t="s">
        <v>293</v>
      </c>
    </row>
    <row r="11" spans="1:134" s="33" customFormat="1" ht="15" customHeight="1" x14ac:dyDescent="0.3">
      <c r="A11" s="156" t="s">
        <v>18</v>
      </c>
      <c r="B11" s="102" t="s">
        <v>21</v>
      </c>
      <c r="C11" s="103" t="s">
        <v>19</v>
      </c>
      <c r="D11" s="104"/>
      <c r="E11" s="105"/>
      <c r="F11" s="105"/>
      <c r="G11" s="105"/>
      <c r="H11" s="105"/>
      <c r="I11" s="105"/>
      <c r="J11" s="105"/>
      <c r="K11" s="105"/>
      <c r="L11" s="105"/>
      <c r="M11" s="105"/>
      <c r="N11" s="105"/>
      <c r="O11" s="105"/>
      <c r="DT11" s="33" t="s">
        <v>281</v>
      </c>
      <c r="EB11" s="33" t="s">
        <v>292</v>
      </c>
      <c r="ED11" s="33" t="s">
        <v>293</v>
      </c>
    </row>
    <row r="12" spans="1:134" s="33" customFormat="1" ht="15" customHeight="1" x14ac:dyDescent="0.3">
      <c r="A12" s="156"/>
      <c r="B12" s="102" t="s">
        <v>22</v>
      </c>
      <c r="C12" s="103" t="s">
        <v>19</v>
      </c>
      <c r="D12" s="104"/>
      <c r="E12" s="105"/>
      <c r="F12" s="105"/>
      <c r="G12" s="105"/>
      <c r="H12" s="105"/>
      <c r="I12" s="105"/>
      <c r="J12" s="105"/>
      <c r="K12" s="105"/>
      <c r="L12" s="105"/>
      <c r="M12" s="105"/>
      <c r="N12" s="105"/>
      <c r="O12" s="105"/>
      <c r="DT12" s="33" t="s">
        <v>282</v>
      </c>
      <c r="EB12" s="33" t="s">
        <v>292</v>
      </c>
      <c r="ED12" s="33" t="s">
        <v>293</v>
      </c>
    </row>
    <row r="13" spans="1:134" s="33" customFormat="1" ht="15" customHeight="1" x14ac:dyDescent="0.3">
      <c r="A13" s="156"/>
      <c r="B13" s="102" t="s">
        <v>23</v>
      </c>
      <c r="C13" s="103" t="s">
        <v>19</v>
      </c>
      <c r="D13" s="104"/>
      <c r="E13" s="105"/>
      <c r="F13" s="105"/>
      <c r="G13" s="105"/>
      <c r="H13" s="105"/>
      <c r="I13" s="105"/>
      <c r="J13" s="105"/>
      <c r="K13" s="105"/>
      <c r="L13" s="105"/>
      <c r="M13" s="105"/>
      <c r="N13" s="105"/>
      <c r="O13" s="105"/>
      <c r="DT13" s="33" t="s">
        <v>283</v>
      </c>
      <c r="EB13" s="33" t="s">
        <v>292</v>
      </c>
      <c r="ED13" s="33" t="s">
        <v>293</v>
      </c>
    </row>
    <row r="14" spans="1:134" ht="24" customHeight="1" x14ac:dyDescent="0.3">
      <c r="A14" s="157" t="s">
        <v>24</v>
      </c>
      <c r="B14" s="181"/>
      <c r="C14" s="9" t="s">
        <v>25</v>
      </c>
      <c r="D14" s="57"/>
      <c r="E14" s="54"/>
      <c r="F14" s="54"/>
      <c r="G14" s="54"/>
      <c r="H14" s="54"/>
      <c r="I14" s="54"/>
      <c r="J14" s="54"/>
      <c r="K14" s="54"/>
      <c r="L14" s="54">
        <v>16.181000000000001</v>
      </c>
      <c r="M14" s="54"/>
      <c r="N14" s="54"/>
      <c r="O14" s="54"/>
      <c r="DT14" s="32" t="s">
        <v>284</v>
      </c>
      <c r="EB14" s="32" t="s">
        <v>291</v>
      </c>
      <c r="ED14" s="32" t="s">
        <v>295</v>
      </c>
    </row>
    <row r="15" spans="1:134" s="33" customFormat="1" ht="15" customHeight="1" x14ac:dyDescent="0.3">
      <c r="A15" s="187" t="s">
        <v>18</v>
      </c>
      <c r="B15" s="102" t="s">
        <v>26</v>
      </c>
      <c r="C15" s="103" t="s">
        <v>25</v>
      </c>
      <c r="D15" s="104"/>
      <c r="E15" s="105"/>
      <c r="F15" s="105"/>
      <c r="G15" s="105"/>
      <c r="H15" s="105"/>
      <c r="I15" s="105"/>
      <c r="J15" s="105"/>
      <c r="K15" s="105"/>
      <c r="L15" s="105"/>
      <c r="M15" s="105"/>
      <c r="N15" s="105"/>
      <c r="O15" s="105"/>
      <c r="DT15" s="33" t="s">
        <v>285</v>
      </c>
      <c r="EB15" s="33" t="s">
        <v>291</v>
      </c>
      <c r="ED15" s="33" t="s">
        <v>295</v>
      </c>
    </row>
    <row r="16" spans="1:134" s="33" customFormat="1" ht="15" customHeight="1" x14ac:dyDescent="0.3">
      <c r="A16" s="188"/>
      <c r="B16" s="102" t="s">
        <v>27</v>
      </c>
      <c r="C16" s="103" t="s">
        <v>25</v>
      </c>
      <c r="D16" s="104"/>
      <c r="E16" s="105"/>
      <c r="F16" s="105"/>
      <c r="G16" s="105"/>
      <c r="H16" s="105"/>
      <c r="I16" s="105"/>
      <c r="J16" s="105"/>
      <c r="K16" s="105"/>
      <c r="L16" s="105">
        <f>7.66758</f>
        <v>7.6675800000000001</v>
      </c>
      <c r="M16" s="105"/>
      <c r="N16" s="105"/>
      <c r="O16" s="105"/>
      <c r="DT16" s="33" t="s">
        <v>286</v>
      </c>
      <c r="EB16" s="33" t="s">
        <v>291</v>
      </c>
      <c r="ED16" s="33" t="s">
        <v>295</v>
      </c>
    </row>
    <row r="17" spans="1:134" s="33" customFormat="1" ht="15" customHeight="1" x14ac:dyDescent="0.3">
      <c r="A17" s="188"/>
      <c r="B17" s="102" t="s">
        <v>28</v>
      </c>
      <c r="C17" s="103" t="s">
        <v>25</v>
      </c>
      <c r="D17" s="104"/>
      <c r="E17" s="105"/>
      <c r="F17" s="105"/>
      <c r="G17" s="105"/>
      <c r="H17" s="105"/>
      <c r="I17" s="105"/>
      <c r="J17" s="105"/>
      <c r="K17" s="105"/>
      <c r="L17" s="105"/>
      <c r="M17" s="105"/>
      <c r="N17" s="105"/>
      <c r="O17" s="105"/>
      <c r="DT17" s="33" t="s">
        <v>287</v>
      </c>
      <c r="EB17" s="33" t="s">
        <v>291</v>
      </c>
      <c r="ED17" s="33" t="s">
        <v>295</v>
      </c>
    </row>
    <row r="18" spans="1:134" s="33" customFormat="1" ht="15" customHeight="1" x14ac:dyDescent="0.3">
      <c r="A18" s="189"/>
      <c r="B18" s="102" t="s">
        <v>185</v>
      </c>
      <c r="C18" s="103" t="s">
        <v>25</v>
      </c>
      <c r="D18" s="104"/>
      <c r="E18" s="105"/>
      <c r="F18" s="105"/>
      <c r="G18" s="105"/>
      <c r="H18" s="105"/>
      <c r="I18" s="105"/>
      <c r="J18" s="105"/>
      <c r="K18" s="105"/>
      <c r="L18" s="105"/>
      <c r="M18" s="105"/>
      <c r="N18" s="105"/>
      <c r="O18" s="105"/>
      <c r="DT18" s="33" t="s">
        <v>288</v>
      </c>
      <c r="EB18" s="33" t="s">
        <v>291</v>
      </c>
      <c r="ED18" s="33" t="s">
        <v>295</v>
      </c>
    </row>
    <row r="19" spans="1:134" ht="21" customHeight="1" x14ac:dyDescent="0.3">
      <c r="A19" s="34"/>
      <c r="B19" s="34"/>
      <c r="C19" s="34"/>
      <c r="D19" s="36"/>
      <c r="E19" s="34"/>
      <c r="F19" s="34"/>
      <c r="G19" s="34"/>
      <c r="H19" s="34"/>
      <c r="I19" s="34"/>
      <c r="J19" s="34"/>
      <c r="K19" s="34"/>
      <c r="L19" s="34"/>
      <c r="M19" s="34"/>
      <c r="N19" s="34"/>
      <c r="O19" s="34"/>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5"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22860</xdr:colOff>
                    <xdr:row>18</xdr:row>
                    <xdr:rowOff>22860</xdr:rowOff>
                  </from>
                  <to>
                    <xdr:col>1</xdr:col>
                    <xdr:colOff>1028700</xdr:colOff>
                    <xdr:row>21</xdr:row>
                    <xdr:rowOff>22860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defaultColWidth="9.109375" defaultRowHeight="14.4" x14ac:dyDescent="0.3"/>
  <cols>
    <col min="1" max="2" width="2.6640625" style="22" customWidth="1"/>
    <col min="3" max="3" width="96.6640625" style="22" customWidth="1"/>
    <col min="4" max="4" width="2.6640625" style="22" customWidth="1"/>
    <col min="5" max="16384" width="9.109375" style="22"/>
  </cols>
  <sheetData>
    <row r="2" spans="2:4" ht="15" thickBot="1" x14ac:dyDescent="0.35"/>
    <row r="3" spans="2:4" ht="30" customHeight="1" thickBot="1" x14ac:dyDescent="0.35">
      <c r="B3" s="194" t="s">
        <v>44</v>
      </c>
      <c r="C3" s="195"/>
      <c r="D3" s="196"/>
    </row>
    <row r="4" spans="2:4" ht="15" thickBot="1" x14ac:dyDescent="0.35"/>
    <row r="5" spans="2:4" ht="15" customHeight="1" x14ac:dyDescent="0.3">
      <c r="B5" s="38"/>
      <c r="C5" s="197"/>
      <c r="D5" s="90"/>
    </row>
    <row r="6" spans="2:4" x14ac:dyDescent="0.3">
      <c r="B6" s="39"/>
      <c r="C6" s="198"/>
      <c r="D6" s="40"/>
    </row>
    <row r="7" spans="2:4" x14ac:dyDescent="0.3">
      <c r="B7" s="39"/>
      <c r="C7" s="198"/>
      <c r="D7" s="40"/>
    </row>
    <row r="8" spans="2:4" x14ac:dyDescent="0.3">
      <c r="B8" s="39"/>
      <c r="C8" s="198"/>
      <c r="D8" s="40"/>
    </row>
    <row r="9" spans="2:4" x14ac:dyDescent="0.3">
      <c r="B9" s="39"/>
      <c r="C9" s="198"/>
      <c r="D9" s="40"/>
    </row>
    <row r="10" spans="2:4" x14ac:dyDescent="0.3">
      <c r="B10" s="39"/>
      <c r="C10" s="198"/>
      <c r="D10" s="40"/>
    </row>
    <row r="11" spans="2:4" x14ac:dyDescent="0.3">
      <c r="B11" s="39"/>
      <c r="C11" s="198"/>
      <c r="D11" s="40"/>
    </row>
    <row r="12" spans="2:4" x14ac:dyDescent="0.3">
      <c r="B12" s="39"/>
      <c r="C12" s="198"/>
      <c r="D12" s="40"/>
    </row>
    <row r="13" spans="2:4" x14ac:dyDescent="0.3">
      <c r="B13" s="39"/>
      <c r="C13" s="198"/>
      <c r="D13" s="40"/>
    </row>
    <row r="14" spans="2:4" x14ac:dyDescent="0.3">
      <c r="B14" s="39"/>
      <c r="C14" s="198"/>
      <c r="D14" s="40"/>
    </row>
    <row r="15" spans="2:4" x14ac:dyDescent="0.3">
      <c r="B15" s="39"/>
      <c r="C15" s="198"/>
      <c r="D15" s="40"/>
    </row>
    <row r="16" spans="2:4" x14ac:dyDescent="0.3">
      <c r="B16" s="39"/>
      <c r="C16" s="198"/>
      <c r="D16" s="40"/>
    </row>
    <row r="17" spans="2:4" x14ac:dyDescent="0.3">
      <c r="B17" s="39"/>
      <c r="C17" s="198"/>
      <c r="D17" s="40"/>
    </row>
    <row r="18" spans="2:4" x14ac:dyDescent="0.3">
      <c r="B18" s="39"/>
      <c r="C18" s="198"/>
      <c r="D18" s="40"/>
    </row>
    <row r="19" spans="2:4" x14ac:dyDescent="0.3">
      <c r="B19" s="39"/>
      <c r="C19" s="198"/>
      <c r="D19" s="40"/>
    </row>
    <row r="20" spans="2:4" x14ac:dyDescent="0.3">
      <c r="B20" s="39"/>
      <c r="C20" s="198"/>
      <c r="D20" s="40"/>
    </row>
    <row r="21" spans="2:4" x14ac:dyDescent="0.3">
      <c r="B21" s="39"/>
      <c r="C21" s="198"/>
      <c r="D21" s="40"/>
    </row>
    <row r="22" spans="2:4" x14ac:dyDescent="0.3">
      <c r="B22" s="39"/>
      <c r="C22" s="198"/>
      <c r="D22" s="40"/>
    </row>
    <row r="23" spans="2:4" x14ac:dyDescent="0.3">
      <c r="B23" s="39"/>
      <c r="C23" s="198"/>
      <c r="D23" s="40"/>
    </row>
    <row r="24" spans="2:4" x14ac:dyDescent="0.3">
      <c r="B24" s="39"/>
      <c r="C24" s="198"/>
      <c r="D24" s="40"/>
    </row>
    <row r="25" spans="2:4" x14ac:dyDescent="0.3">
      <c r="B25" s="39"/>
      <c r="C25" s="198"/>
      <c r="D25" s="40"/>
    </row>
    <row r="26" spans="2:4" x14ac:dyDescent="0.3">
      <c r="B26" s="39"/>
      <c r="C26" s="198"/>
      <c r="D26" s="40"/>
    </row>
    <row r="27" spans="2:4" x14ac:dyDescent="0.3">
      <c r="B27" s="39"/>
      <c r="C27" s="198"/>
      <c r="D27" s="40"/>
    </row>
    <row r="28" spans="2:4" x14ac:dyDescent="0.3">
      <c r="B28" s="39"/>
      <c r="C28" s="198"/>
      <c r="D28" s="40"/>
    </row>
    <row r="29" spans="2:4" x14ac:dyDescent="0.3">
      <c r="B29" s="39"/>
      <c r="C29" s="198"/>
      <c r="D29" s="40"/>
    </row>
    <row r="30" spans="2:4" x14ac:dyDescent="0.3">
      <c r="B30" s="39"/>
      <c r="C30" s="198"/>
      <c r="D30" s="40"/>
    </row>
    <row r="31" spans="2:4" x14ac:dyDescent="0.3">
      <c r="B31" s="39"/>
      <c r="C31" s="198"/>
      <c r="D31" s="40"/>
    </row>
    <row r="32" spans="2:4" x14ac:dyDescent="0.3">
      <c r="B32" s="39"/>
      <c r="C32" s="198"/>
      <c r="D32" s="40"/>
    </row>
    <row r="33" spans="2:4" x14ac:dyDescent="0.3">
      <c r="B33" s="39"/>
      <c r="C33" s="198"/>
      <c r="D33" s="40"/>
    </row>
    <row r="34" spans="2:4" x14ac:dyDescent="0.3">
      <c r="B34" s="39"/>
      <c r="C34" s="198"/>
      <c r="D34" s="40"/>
    </row>
    <row r="35" spans="2:4" x14ac:dyDescent="0.3">
      <c r="B35" s="39"/>
      <c r="C35" s="198"/>
      <c r="D35" s="40"/>
    </row>
    <row r="36" spans="2:4" x14ac:dyDescent="0.3">
      <c r="B36" s="39"/>
      <c r="C36" s="198"/>
      <c r="D36" s="40"/>
    </row>
    <row r="37" spans="2:4" x14ac:dyDescent="0.3">
      <c r="B37" s="39"/>
      <c r="C37" s="198"/>
      <c r="D37" s="40"/>
    </row>
    <row r="38" spans="2:4" x14ac:dyDescent="0.3">
      <c r="B38" s="39"/>
      <c r="C38" s="198"/>
      <c r="D38" s="40"/>
    </row>
    <row r="39" spans="2:4" x14ac:dyDescent="0.3">
      <c r="B39" s="39"/>
      <c r="C39" s="198"/>
      <c r="D39" s="40"/>
    </row>
    <row r="40" spans="2:4" x14ac:dyDescent="0.3">
      <c r="B40" s="39"/>
      <c r="C40" s="198"/>
      <c r="D40" s="40"/>
    </row>
    <row r="41" spans="2:4" x14ac:dyDescent="0.3">
      <c r="B41" s="39"/>
      <c r="C41" s="198"/>
      <c r="D41" s="40"/>
    </row>
    <row r="42" spans="2:4" x14ac:dyDescent="0.3">
      <c r="B42" s="39"/>
      <c r="C42" s="198"/>
      <c r="D42" s="40"/>
    </row>
    <row r="43" spans="2:4" ht="15" thickBot="1" x14ac:dyDescent="0.35">
      <c r="B43" s="41"/>
      <c r="C43" s="199"/>
      <c r="D43" s="42"/>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182880</xdr:rowOff>
                  </from>
                  <to>
                    <xdr:col>3</xdr:col>
                    <xdr:colOff>160020</xdr:colOff>
                    <xdr:row>3</xdr:row>
                    <xdr:rowOff>7620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RowHeight="14.4" x14ac:dyDescent="0.3"/>
  <cols>
    <col min="2" max="2" width="61.88671875" bestFit="1" customWidth="1"/>
  </cols>
  <sheetData>
    <row r="2" spans="2:3" x14ac:dyDescent="0.3">
      <c r="B2" s="21" t="s">
        <v>45</v>
      </c>
    </row>
    <row r="3" spans="2:3" x14ac:dyDescent="0.3">
      <c r="B3" t="s">
        <v>46</v>
      </c>
      <c r="C3" t="s">
        <v>237</v>
      </c>
    </row>
    <row r="4" spans="2:3" x14ac:dyDescent="0.3">
      <c r="B4" t="s">
        <v>47</v>
      </c>
      <c r="C4" t="s">
        <v>238</v>
      </c>
    </row>
    <row r="5" spans="2:3" x14ac:dyDescent="0.3">
      <c r="B5" t="s">
        <v>48</v>
      </c>
      <c r="C5" t="s">
        <v>239</v>
      </c>
    </row>
    <row r="6" spans="2:3" x14ac:dyDescent="0.3">
      <c r="B6" t="s">
        <v>73</v>
      </c>
      <c r="C6" t="s">
        <v>240</v>
      </c>
    </row>
    <row r="7" spans="2:3" x14ac:dyDescent="0.3">
      <c r="B7" t="s">
        <v>49</v>
      </c>
      <c r="C7" t="s">
        <v>241</v>
      </c>
    </row>
    <row r="8" spans="2:3" x14ac:dyDescent="0.3">
      <c r="B8" t="s">
        <v>56</v>
      </c>
      <c r="C8" t="s">
        <v>242</v>
      </c>
    </row>
    <row r="9" spans="2:3" x14ac:dyDescent="0.3">
      <c r="B9" t="s">
        <v>58</v>
      </c>
      <c r="C9" t="s">
        <v>243</v>
      </c>
    </row>
    <row r="10" spans="2:3" x14ac:dyDescent="0.3">
      <c r="B10" t="s">
        <v>179</v>
      </c>
      <c r="C10" t="s">
        <v>275</v>
      </c>
    </row>
    <row r="11" spans="2:3" x14ac:dyDescent="0.3">
      <c r="B11" t="s">
        <v>50</v>
      </c>
      <c r="C11" t="s">
        <v>244</v>
      </c>
    </row>
    <row r="12" spans="2:3" x14ac:dyDescent="0.3">
      <c r="B12" t="s">
        <v>51</v>
      </c>
      <c r="C12" t="s">
        <v>245</v>
      </c>
    </row>
    <row r="13" spans="2:3" x14ac:dyDescent="0.3">
      <c r="B13" t="s">
        <v>69</v>
      </c>
      <c r="C13" t="s">
        <v>246</v>
      </c>
    </row>
    <row r="14" spans="2:3" x14ac:dyDescent="0.3">
      <c r="B14" t="s">
        <v>55</v>
      </c>
      <c r="C14" t="s">
        <v>230</v>
      </c>
    </row>
    <row r="15" spans="2:3" x14ac:dyDescent="0.3">
      <c r="B15" t="s">
        <v>141</v>
      </c>
      <c r="C15" t="s">
        <v>247</v>
      </c>
    </row>
    <row r="16" spans="2:3" x14ac:dyDescent="0.3">
      <c r="B16" t="s">
        <v>74</v>
      </c>
      <c r="C16" t="s">
        <v>248</v>
      </c>
    </row>
    <row r="17" spans="2:3" x14ac:dyDescent="0.3">
      <c r="B17" t="s">
        <v>53</v>
      </c>
      <c r="C17" t="s">
        <v>249</v>
      </c>
    </row>
    <row r="18" spans="2:3" x14ac:dyDescent="0.3">
      <c r="B18" t="s">
        <v>62</v>
      </c>
      <c r="C18" t="s">
        <v>250</v>
      </c>
    </row>
    <row r="19" spans="2:3" x14ac:dyDescent="0.3">
      <c r="B19" t="s">
        <v>75</v>
      </c>
      <c r="C19" t="s">
        <v>251</v>
      </c>
    </row>
    <row r="20" spans="2:3" x14ac:dyDescent="0.3">
      <c r="B20" t="s">
        <v>52</v>
      </c>
      <c r="C20" t="s">
        <v>252</v>
      </c>
    </row>
    <row r="21" spans="2:3" x14ac:dyDescent="0.3">
      <c r="B21" t="s">
        <v>57</v>
      </c>
      <c r="C21" t="s">
        <v>253</v>
      </c>
    </row>
    <row r="22" spans="2:3" x14ac:dyDescent="0.3">
      <c r="B22" t="s">
        <v>140</v>
      </c>
      <c r="C22" t="s">
        <v>276</v>
      </c>
    </row>
    <row r="23" spans="2:3" x14ac:dyDescent="0.3">
      <c r="B23" t="s">
        <v>59</v>
      </c>
      <c r="C23" t="s">
        <v>254</v>
      </c>
    </row>
    <row r="24" spans="2:3" x14ac:dyDescent="0.3">
      <c r="B24" t="s">
        <v>76</v>
      </c>
      <c r="C24" t="s">
        <v>255</v>
      </c>
    </row>
    <row r="25" spans="2:3" x14ac:dyDescent="0.3">
      <c r="B25" t="s">
        <v>60</v>
      </c>
      <c r="C25" t="s">
        <v>256</v>
      </c>
    </row>
    <row r="26" spans="2:3" x14ac:dyDescent="0.3">
      <c r="B26" t="s">
        <v>61</v>
      </c>
      <c r="C26" t="s">
        <v>257</v>
      </c>
    </row>
    <row r="27" spans="2:3" x14ac:dyDescent="0.3">
      <c r="B27" t="s">
        <v>63</v>
      </c>
      <c r="C27" t="s">
        <v>258</v>
      </c>
    </row>
    <row r="28" spans="2:3" x14ac:dyDescent="0.3">
      <c r="B28" t="s">
        <v>139</v>
      </c>
      <c r="C28" t="s">
        <v>259</v>
      </c>
    </row>
    <row r="29" spans="2:3" x14ac:dyDescent="0.3">
      <c r="B29" t="s">
        <v>77</v>
      </c>
      <c r="C29" t="s">
        <v>260</v>
      </c>
    </row>
    <row r="30" spans="2:3" x14ac:dyDescent="0.3">
      <c r="B30" t="s">
        <v>64</v>
      </c>
      <c r="C30" t="s">
        <v>261</v>
      </c>
    </row>
    <row r="31" spans="2:3" x14ac:dyDescent="0.3">
      <c r="B31" t="s">
        <v>178</v>
      </c>
      <c r="C31" t="s">
        <v>262</v>
      </c>
    </row>
    <row r="32" spans="2:3" x14ac:dyDescent="0.3">
      <c r="B32" t="s">
        <v>78</v>
      </c>
      <c r="C32" t="s">
        <v>263</v>
      </c>
    </row>
    <row r="33" spans="2:3" x14ac:dyDescent="0.3">
      <c r="B33" t="s">
        <v>65</v>
      </c>
      <c r="C33" t="s">
        <v>264</v>
      </c>
    </row>
    <row r="34" spans="2:3" x14ac:dyDescent="0.3">
      <c r="B34" t="s">
        <v>66</v>
      </c>
      <c r="C34" t="s">
        <v>265</v>
      </c>
    </row>
    <row r="35" spans="2:3" x14ac:dyDescent="0.3">
      <c r="B35" t="s">
        <v>67</v>
      </c>
      <c r="C35" t="s">
        <v>266</v>
      </c>
    </row>
    <row r="36" spans="2:3" x14ac:dyDescent="0.3">
      <c r="B36" t="s">
        <v>79</v>
      </c>
      <c r="C36" t="s">
        <v>267</v>
      </c>
    </row>
    <row r="37" spans="2:3" x14ac:dyDescent="0.3">
      <c r="B37" t="s">
        <v>80</v>
      </c>
      <c r="C37" t="s">
        <v>277</v>
      </c>
    </row>
    <row r="38" spans="2:3" x14ac:dyDescent="0.3">
      <c r="B38" t="s">
        <v>68</v>
      </c>
      <c r="C38" t="s">
        <v>268</v>
      </c>
    </row>
    <row r="39" spans="2:3" x14ac:dyDescent="0.3">
      <c r="B39" t="s">
        <v>54</v>
      </c>
      <c r="C39" t="s">
        <v>269</v>
      </c>
    </row>
    <row r="40" spans="2:3" x14ac:dyDescent="0.3">
      <c r="B40" t="s">
        <v>70</v>
      </c>
      <c r="C40" t="s">
        <v>270</v>
      </c>
    </row>
    <row r="41" spans="2:3" x14ac:dyDescent="0.3">
      <c r="B41" t="s">
        <v>81</v>
      </c>
      <c r="C41" t="s">
        <v>271</v>
      </c>
    </row>
    <row r="42" spans="2:3" x14ac:dyDescent="0.3">
      <c r="B42" t="s">
        <v>72</v>
      </c>
      <c r="C42" t="s">
        <v>272</v>
      </c>
    </row>
    <row r="43" spans="2:3" x14ac:dyDescent="0.3">
      <c r="B43" t="s">
        <v>138</v>
      </c>
      <c r="C43" t="s">
        <v>273</v>
      </c>
    </row>
    <row r="44" spans="2:3" x14ac:dyDescent="0.3">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zoomScale="90" zoomScaleNormal="90" workbookViewId="0">
      <selection activeCell="I45" sqref="I45"/>
    </sheetView>
  </sheetViews>
  <sheetFormatPr defaultRowHeight="14.4" x14ac:dyDescent="0.3"/>
  <cols>
    <col min="1" max="1" width="18.6640625" customWidth="1"/>
    <col min="2" max="2" width="123.6640625" customWidth="1"/>
    <col min="3" max="14" width="9.109375" style="91"/>
  </cols>
  <sheetData>
    <row r="1" spans="1:14" ht="15.6" x14ac:dyDescent="0.3">
      <c r="A1" s="97" t="s">
        <v>170</v>
      </c>
    </row>
    <row r="4" spans="1:14" ht="15.6" x14ac:dyDescent="0.3">
      <c r="B4" s="98" t="s">
        <v>149</v>
      </c>
      <c r="C4" s="99" t="b">
        <f>COUNTIF(C7:J46, FALSE) = 0</f>
        <v>1</v>
      </c>
    </row>
    <row r="6" spans="1:14" x14ac:dyDescent="0.3">
      <c r="A6" s="95" t="s">
        <v>150</v>
      </c>
      <c r="B6" s="95" t="s">
        <v>151</v>
      </c>
      <c r="C6" s="96">
        <v>2010</v>
      </c>
      <c r="D6" s="96">
        <v>2011</v>
      </c>
      <c r="E6" s="96">
        <v>2012</v>
      </c>
      <c r="F6" s="96">
        <v>2013</v>
      </c>
      <c r="G6" s="96">
        <v>2014</v>
      </c>
      <c r="H6" s="96">
        <v>2015</v>
      </c>
      <c r="I6" s="96">
        <v>2016</v>
      </c>
      <c r="J6" s="96">
        <v>2017</v>
      </c>
      <c r="K6" s="96">
        <v>2018</v>
      </c>
      <c r="L6" s="96">
        <v>2019</v>
      </c>
      <c r="M6" s="96">
        <v>2020</v>
      </c>
      <c r="N6" s="96">
        <v>2021</v>
      </c>
    </row>
    <row r="7" spans="1:14" x14ac:dyDescent="0.3">
      <c r="A7" t="s">
        <v>152</v>
      </c>
      <c r="B7" t="s">
        <v>160</v>
      </c>
      <c r="C7" s="91" t="b">
        <f>'1a_SpaceHeating'!D10&gt;=SUM('1a_SpaceHeating'!D11+'1a_SpaceHeating'!D12+'1a_SpaceHeating'!D13)</f>
        <v>1</v>
      </c>
      <c r="D7" s="91" t="b">
        <f>'1a_SpaceHeating'!E10 &gt;= SUM('1a_SpaceHeating'!E11+'1a_SpaceHeating'!E12+'1a_SpaceHeating'!E13)</f>
        <v>1</v>
      </c>
      <c r="E7" s="91" t="b">
        <f>'1a_SpaceHeating'!F10 &gt;= SUM('1a_SpaceHeating'!F11+'1a_SpaceHeating'!F12+'1a_SpaceHeating'!F13)</f>
        <v>1</v>
      </c>
      <c r="F7" s="91" t="b">
        <f>'1a_SpaceHeating'!G10 &gt;= SUM('1a_SpaceHeating'!G11+'1a_SpaceHeating'!G12+'1a_SpaceHeating'!G13)</f>
        <v>1</v>
      </c>
      <c r="G7" s="91" t="b">
        <f>'1a_SpaceHeating'!H10 &gt;= SUM('1a_SpaceHeating'!H11+'1a_SpaceHeating'!H12+'1a_SpaceHeating'!H13)</f>
        <v>1</v>
      </c>
      <c r="H7" s="91" t="b">
        <f>'1a_SpaceHeating'!I10 &gt;= SUM('1a_SpaceHeating'!I11+'1a_SpaceHeating'!I12+'1a_SpaceHeating'!I13)</f>
        <v>1</v>
      </c>
      <c r="I7" s="91" t="b">
        <f>'1a_SpaceHeating'!J10 &gt;= SUM('1a_SpaceHeating'!J11+'1a_SpaceHeating'!J12+'1a_SpaceHeating'!J13)</f>
        <v>1</v>
      </c>
      <c r="J7" s="91" t="b">
        <f>'1a_SpaceHeating'!K10 &gt;= SUM('1a_SpaceHeating'!K11+'1a_SpaceHeating'!K12+'1a_SpaceHeating'!K13)</f>
        <v>1</v>
      </c>
      <c r="K7" s="91" t="b">
        <f>'1a_SpaceHeating'!L10 &gt;= SUM('1a_SpaceHeating'!L11+'1a_SpaceHeating'!L12+'1a_SpaceHeating'!L13)</f>
        <v>1</v>
      </c>
      <c r="L7" s="91" t="b">
        <f>'1a_SpaceHeating'!M10 &gt;= SUM('1a_SpaceHeating'!M11+'1a_SpaceHeating'!M12+'1a_SpaceHeating'!M13)</f>
        <v>1</v>
      </c>
      <c r="M7" s="91" t="b">
        <f>'1a_SpaceHeating'!N10 &gt;= SUM('1a_SpaceHeating'!N11+'1a_SpaceHeating'!N12+'1a_SpaceHeating'!N13)</f>
        <v>1</v>
      </c>
      <c r="N7" s="91" t="b">
        <f>'1a_SpaceHeating'!O10 &gt;= SUM('1a_SpaceHeating'!O11+'1a_SpaceHeating'!O12+'1a_SpaceHeating'!O13)</f>
        <v>1</v>
      </c>
    </row>
    <row r="8" spans="1:14" x14ac:dyDescent="0.3">
      <c r="A8" t="s">
        <v>152</v>
      </c>
      <c r="B8" t="s">
        <v>161</v>
      </c>
      <c r="C8" s="91" t="b">
        <f>'1a_SpaceHeating'!D14&gt;=SUM('1a_SpaceHeating'!D15+'1a_SpaceHeating'!D16+'1a_SpaceHeating'!D17+'1a_SpaceHeating'!D18)</f>
        <v>1</v>
      </c>
      <c r="D8" s="91" t="b">
        <f>'1a_SpaceHeating'!E14&gt;=SUM('1a_SpaceHeating'!E15+'1a_SpaceHeating'!E16+'1a_SpaceHeating'!E17+'1a_SpaceHeating'!E18)</f>
        <v>1</v>
      </c>
      <c r="E8" s="91" t="b">
        <f>'1a_SpaceHeating'!F14&gt;=SUM('1a_SpaceHeating'!F15+'1a_SpaceHeating'!F16+'1a_SpaceHeating'!F17+'1a_SpaceHeating'!F18)</f>
        <v>1</v>
      </c>
      <c r="F8" s="91" t="b">
        <f>'1a_SpaceHeating'!G14&gt;=SUM('1a_SpaceHeating'!G15+'1a_SpaceHeating'!G16+'1a_SpaceHeating'!G17+'1a_SpaceHeating'!G18)</f>
        <v>1</v>
      </c>
      <c r="G8" s="91" t="b">
        <f>'1a_SpaceHeating'!H14&gt;=SUM('1a_SpaceHeating'!H15+'1a_SpaceHeating'!H16+'1a_SpaceHeating'!H17+'1a_SpaceHeating'!H18)</f>
        <v>1</v>
      </c>
      <c r="H8" s="91" t="b">
        <f>'1a_SpaceHeating'!I14&gt;=SUM('1a_SpaceHeating'!I15+'1a_SpaceHeating'!I16+'1a_SpaceHeating'!I17+'1a_SpaceHeating'!I18)</f>
        <v>1</v>
      </c>
      <c r="I8" s="91" t="b">
        <f>'1a_SpaceHeating'!J14&gt;=SUM('1a_SpaceHeating'!J15+'1a_SpaceHeating'!J16+'1a_SpaceHeating'!J17+'1a_SpaceHeating'!J18)</f>
        <v>1</v>
      </c>
      <c r="J8" s="91" t="b">
        <f>'1a_SpaceHeating'!K14&gt;=SUM('1a_SpaceHeating'!K15+'1a_SpaceHeating'!K16+'1a_SpaceHeating'!K17+'1a_SpaceHeating'!K18)</f>
        <v>1</v>
      </c>
      <c r="K8" s="91" t="b">
        <f>'1a_SpaceHeating'!L14&gt;=SUM('1a_SpaceHeating'!L15+'1a_SpaceHeating'!L16+'1a_SpaceHeating'!L17+'1a_SpaceHeating'!L18)</f>
        <v>1</v>
      </c>
      <c r="L8" s="91" t="b">
        <f>'1a_SpaceHeating'!M14&gt;=SUM('1a_SpaceHeating'!M15+'1a_SpaceHeating'!M16+'1a_SpaceHeating'!M17+'1a_SpaceHeating'!M18)</f>
        <v>1</v>
      </c>
      <c r="M8" s="91" t="b">
        <f>'1a_SpaceHeating'!N14&gt;=SUM('1a_SpaceHeating'!N15+'1a_SpaceHeating'!N16+'1a_SpaceHeating'!N17+'1a_SpaceHeating'!N18)</f>
        <v>1</v>
      </c>
      <c r="N8" s="91" t="b">
        <f>'1a_SpaceHeating'!O14&gt;=SUM('1a_SpaceHeating'!O15+'1a_SpaceHeating'!O16+'1a_SpaceHeating'!O17+'1a_SpaceHeating'!O18)</f>
        <v>1</v>
      </c>
    </row>
    <row r="9" spans="1:14" x14ac:dyDescent="0.3">
      <c r="A9" t="s">
        <v>169</v>
      </c>
      <c r="B9" t="s">
        <v>160</v>
      </c>
      <c r="C9" s="91" t="b">
        <f>'1b_SpaceCooling'!D10&gt;=SUM('1b_SpaceCooling'!D11+'1b_SpaceCooling'!D12+'1b_SpaceCooling'!D13)</f>
        <v>1</v>
      </c>
      <c r="D9" s="91" t="b">
        <f>'1b_SpaceCooling'!E10&gt;=SUM('1b_SpaceCooling'!E11+'1b_SpaceCooling'!E12+'1b_SpaceCooling'!E13)</f>
        <v>1</v>
      </c>
      <c r="E9" s="91" t="b">
        <f>'1b_SpaceCooling'!F10&gt;=SUM('1b_SpaceCooling'!F11+'1b_SpaceCooling'!F12+'1b_SpaceCooling'!F13)</f>
        <v>1</v>
      </c>
      <c r="F9" s="91" t="b">
        <f>'1b_SpaceCooling'!G10&gt;=SUM('1b_SpaceCooling'!G11+'1b_SpaceCooling'!G12+'1b_SpaceCooling'!G13)</f>
        <v>1</v>
      </c>
      <c r="G9" s="91" t="b">
        <f>'1b_SpaceCooling'!H10&gt;=SUM('1b_SpaceCooling'!H11+'1b_SpaceCooling'!H12+'1b_SpaceCooling'!H13)</f>
        <v>1</v>
      </c>
      <c r="H9" s="91" t="b">
        <f>'1b_SpaceCooling'!I10&gt;=SUM('1b_SpaceCooling'!I11+'1b_SpaceCooling'!I12+'1b_SpaceCooling'!I13)</f>
        <v>1</v>
      </c>
      <c r="I9" s="91" t="b">
        <f>'1b_SpaceCooling'!J10&gt;=SUM('1b_SpaceCooling'!J11+'1b_SpaceCooling'!J12+'1b_SpaceCooling'!J13)</f>
        <v>1</v>
      </c>
      <c r="J9" s="91" t="b">
        <f>'1b_SpaceCooling'!K10&gt;=SUM('1b_SpaceCooling'!K11+'1b_SpaceCooling'!K12+'1b_SpaceCooling'!K13)</f>
        <v>1</v>
      </c>
      <c r="K9" s="91" t="b">
        <f>'1b_SpaceCooling'!L10&gt;=SUM('1b_SpaceCooling'!L11+'1b_SpaceCooling'!L12+'1b_SpaceCooling'!L13)</f>
        <v>1</v>
      </c>
      <c r="L9" s="91" t="b">
        <f>'1b_SpaceCooling'!M10&gt;=SUM('1b_SpaceCooling'!M11+'1b_SpaceCooling'!M12+'1b_SpaceCooling'!M13)</f>
        <v>1</v>
      </c>
      <c r="M9" s="91" t="b">
        <f>'1b_SpaceCooling'!N10&gt;=SUM('1b_SpaceCooling'!N11+'1b_SpaceCooling'!N12+'1b_SpaceCooling'!N13)</f>
        <v>1</v>
      </c>
      <c r="N9" s="91" t="b">
        <f>'1b_SpaceCooling'!O10&gt;=SUM('1b_SpaceCooling'!O11+'1b_SpaceCooling'!O12+'1b_SpaceCooling'!O13)</f>
        <v>1</v>
      </c>
    </row>
    <row r="10" spans="1:14" x14ac:dyDescent="0.3">
      <c r="A10" t="s">
        <v>169</v>
      </c>
      <c r="B10" t="s">
        <v>161</v>
      </c>
      <c r="C10" s="91" t="b">
        <f>'1b_SpaceCooling'!D14&gt;=SUM('1b_SpaceCooling'!D15+'1b_SpaceCooling'!D16+'1b_SpaceCooling'!D17+'1b_SpaceCooling'!D18)</f>
        <v>1</v>
      </c>
      <c r="D10" s="91" t="b">
        <f>'1b_SpaceCooling'!E14&gt;=SUM('1b_SpaceCooling'!E15+'1b_SpaceCooling'!E16+'1b_SpaceCooling'!E17+'1b_SpaceCooling'!E18)</f>
        <v>1</v>
      </c>
      <c r="E10" s="91" t="b">
        <f>'1b_SpaceCooling'!F14&gt;=SUM('1b_SpaceCooling'!F15+'1b_SpaceCooling'!F16+'1b_SpaceCooling'!F17+'1b_SpaceCooling'!F18)</f>
        <v>1</v>
      </c>
      <c r="F10" s="91" t="b">
        <f>'1b_SpaceCooling'!G14&gt;=SUM('1b_SpaceCooling'!G15+'1b_SpaceCooling'!G16+'1b_SpaceCooling'!G17+'1b_SpaceCooling'!G18)</f>
        <v>1</v>
      </c>
      <c r="G10" s="91" t="b">
        <f>'1b_SpaceCooling'!H14&gt;=SUM('1b_SpaceCooling'!H15+'1b_SpaceCooling'!H16+'1b_SpaceCooling'!H17+'1b_SpaceCooling'!H18)</f>
        <v>1</v>
      </c>
      <c r="H10" s="91" t="b">
        <f>'1b_SpaceCooling'!I14&gt;=SUM('1b_SpaceCooling'!I15+'1b_SpaceCooling'!I16+'1b_SpaceCooling'!I17+'1b_SpaceCooling'!I18)</f>
        <v>1</v>
      </c>
      <c r="I10" s="91" t="b">
        <f>'1b_SpaceCooling'!J14&gt;=SUM('1b_SpaceCooling'!J15+'1b_SpaceCooling'!J16+'1b_SpaceCooling'!J17+'1b_SpaceCooling'!J18)</f>
        <v>1</v>
      </c>
      <c r="J10" s="91" t="b">
        <f>'1b_SpaceCooling'!K14&gt;=SUM('1b_SpaceCooling'!K15+'1b_SpaceCooling'!K16+'1b_SpaceCooling'!K17+'1b_SpaceCooling'!K18)</f>
        <v>1</v>
      </c>
      <c r="K10" s="91" t="b">
        <f>'1b_SpaceCooling'!L14&gt;=SUM('1b_SpaceCooling'!L15+'1b_SpaceCooling'!L16+'1b_SpaceCooling'!L17+'1b_SpaceCooling'!L18)</f>
        <v>1</v>
      </c>
      <c r="L10" s="91" t="b">
        <f>'1b_SpaceCooling'!M14&gt;=SUM('1b_SpaceCooling'!M15+'1b_SpaceCooling'!M16+'1b_SpaceCooling'!M17+'1b_SpaceCooling'!M18)</f>
        <v>1</v>
      </c>
      <c r="M10" s="91" t="b">
        <f>'1b_SpaceCooling'!N14&gt;=SUM('1b_SpaceCooling'!N15+'1b_SpaceCooling'!N16+'1b_SpaceCooling'!N17+'1b_SpaceCooling'!N18)</f>
        <v>1</v>
      </c>
      <c r="N10" s="91" t="b">
        <f>'1b_SpaceCooling'!O14&gt;=SUM('1b_SpaceCooling'!O15+'1b_SpaceCooling'!O16+'1b_SpaceCooling'!O17+'1b_SpaceCooling'!O18)</f>
        <v>1</v>
      </c>
    </row>
    <row r="11" spans="1:14" x14ac:dyDescent="0.3">
      <c r="A11" t="s">
        <v>153</v>
      </c>
      <c r="B11" t="s">
        <v>159</v>
      </c>
      <c r="C11" s="91" t="b">
        <f>'1c_WaterHeating'!D10&gt;=SUM('1c_WaterHeating'!D11+'1c_WaterHeating'!D12+'1c_WaterHeating'!D13)</f>
        <v>1</v>
      </c>
      <c r="D11" s="91" t="b">
        <f>'1c_WaterHeating'!E10&gt;=SUM('1c_WaterHeating'!E11+'1c_WaterHeating'!E12+'1c_WaterHeating'!E13)</f>
        <v>1</v>
      </c>
      <c r="E11" s="91" t="b">
        <f>'1c_WaterHeating'!F10&gt;=SUM('1c_WaterHeating'!F11+'1c_WaterHeating'!F12+'1c_WaterHeating'!F13)</f>
        <v>1</v>
      </c>
      <c r="F11" s="91" t="b">
        <f>'1c_WaterHeating'!G10&gt;=SUM('1c_WaterHeating'!G11+'1c_WaterHeating'!G12+'1c_WaterHeating'!G13)</f>
        <v>1</v>
      </c>
      <c r="G11" s="91" t="b">
        <f>'1c_WaterHeating'!H10&gt;=SUM('1c_WaterHeating'!H11+'1c_WaterHeating'!H12+'1c_WaterHeating'!H13)</f>
        <v>1</v>
      </c>
      <c r="H11" s="91" t="b">
        <f>'1c_WaterHeating'!I10&gt;=SUM('1c_WaterHeating'!I11+'1c_WaterHeating'!I12+'1c_WaterHeating'!I13)</f>
        <v>1</v>
      </c>
      <c r="I11" s="91" t="b">
        <f>'1c_WaterHeating'!J10&gt;=SUM('1c_WaterHeating'!J11+'1c_WaterHeating'!J12+'1c_WaterHeating'!J13)</f>
        <v>1</v>
      </c>
      <c r="J11" s="91" t="b">
        <f>'1c_WaterHeating'!K10&gt;=SUM('1c_WaterHeating'!K11+'1c_WaterHeating'!K12+'1c_WaterHeating'!K13)</f>
        <v>1</v>
      </c>
      <c r="K11" s="91" t="b">
        <f>'1c_WaterHeating'!L10&gt;=SUM('1c_WaterHeating'!L11+'1c_WaterHeating'!L12+'1c_WaterHeating'!L13)</f>
        <v>1</v>
      </c>
      <c r="L11" s="91" t="b">
        <f>'1c_WaterHeating'!M10&gt;=SUM('1c_WaterHeating'!M11+'1c_WaterHeating'!M12+'1c_WaterHeating'!M13)</f>
        <v>1</v>
      </c>
      <c r="M11" s="91" t="b">
        <f>'1c_WaterHeating'!N10&gt;=SUM('1c_WaterHeating'!N11+'1c_WaterHeating'!N12+'1c_WaterHeating'!N13)</f>
        <v>1</v>
      </c>
      <c r="N11" s="91" t="b">
        <f>'1c_WaterHeating'!O10&gt;=SUM('1c_WaterHeating'!O11+'1c_WaterHeating'!O12+'1c_WaterHeating'!O13)</f>
        <v>1</v>
      </c>
    </row>
    <row r="12" spans="1:14" x14ac:dyDescent="0.3">
      <c r="A12" t="s">
        <v>153</v>
      </c>
      <c r="B12" t="s">
        <v>161</v>
      </c>
      <c r="C12" s="91" t="b">
        <f>'1c_WaterHeating'!D14&gt;=SUM('1c_WaterHeating'!D15+'1c_WaterHeating'!D16+'1c_WaterHeating'!D17+'1c_WaterHeating'!D18)</f>
        <v>1</v>
      </c>
      <c r="D12" s="91" t="b">
        <f>'1c_WaterHeating'!E14&gt;=SUM('1c_WaterHeating'!E15+'1c_WaterHeating'!E16+'1c_WaterHeating'!E17+'1c_WaterHeating'!E18)</f>
        <v>1</v>
      </c>
      <c r="E12" s="91" t="b">
        <f>'1c_WaterHeating'!F14&gt;=SUM('1c_WaterHeating'!F15+'1c_WaterHeating'!F16+'1c_WaterHeating'!F17+'1c_WaterHeating'!F18)</f>
        <v>1</v>
      </c>
      <c r="F12" s="91" t="b">
        <f>'1c_WaterHeating'!G14&gt;=SUM('1c_WaterHeating'!G15+'1c_WaterHeating'!G16+'1c_WaterHeating'!G17+'1c_WaterHeating'!G18)</f>
        <v>1</v>
      </c>
      <c r="G12" s="91" t="b">
        <f>'1c_WaterHeating'!H14&gt;=SUM('1c_WaterHeating'!H15+'1c_WaterHeating'!H16+'1c_WaterHeating'!H17+'1c_WaterHeating'!H18)</f>
        <v>1</v>
      </c>
      <c r="H12" s="91" t="b">
        <f>'1c_WaterHeating'!I14&gt;=SUM('1c_WaterHeating'!I15+'1c_WaterHeating'!I16+'1c_WaterHeating'!I17+'1c_WaterHeating'!I18)</f>
        <v>1</v>
      </c>
      <c r="I12" s="91" t="b">
        <f>'1c_WaterHeating'!J14&gt;=SUM('1c_WaterHeating'!J15+'1c_WaterHeating'!J16+'1c_WaterHeating'!J17+'1c_WaterHeating'!J18)</f>
        <v>1</v>
      </c>
      <c r="J12" s="91" t="b">
        <f>'1c_WaterHeating'!K14&gt;=SUM('1c_WaterHeating'!K15+'1c_WaterHeating'!K16+'1c_WaterHeating'!K17+'1c_WaterHeating'!K18)</f>
        <v>1</v>
      </c>
      <c r="K12" s="91" t="b">
        <f>'1c_WaterHeating'!L14&gt;=SUM('1c_WaterHeating'!L15+'1c_WaterHeating'!L16+'1c_WaterHeating'!L17+'1c_WaterHeating'!L18)</f>
        <v>1</v>
      </c>
      <c r="L12" s="91" t="b">
        <f>'1c_WaterHeating'!M14&gt;=SUM('1c_WaterHeating'!M15+'1c_WaterHeating'!M16+'1c_WaterHeating'!M17+'1c_WaterHeating'!M18)</f>
        <v>1</v>
      </c>
      <c r="M12" s="91" t="b">
        <f>'1c_WaterHeating'!N14&gt;=SUM('1c_WaterHeating'!N15+'1c_WaterHeating'!N16+'1c_WaterHeating'!N17+'1c_WaterHeating'!N18)</f>
        <v>1</v>
      </c>
      <c r="N12" s="91" t="b">
        <f>'1c_WaterHeating'!O14&gt;=SUM('1c_WaterHeating'!O15+'1c_WaterHeating'!O16+'1c_WaterHeating'!O17+'1c_WaterHeating'!O18)</f>
        <v>1</v>
      </c>
    </row>
    <row r="13" spans="1:14" x14ac:dyDescent="0.3">
      <c r="A13" t="s">
        <v>154</v>
      </c>
      <c r="B13" t="s">
        <v>160</v>
      </c>
      <c r="C13" s="91" t="b">
        <f>'1d_Cooking'!D10&gt;=SUM('1d_Cooking'!D11+'1d_Cooking'!D12+'1d_Cooking'!D13)</f>
        <v>1</v>
      </c>
      <c r="D13" s="91" t="b">
        <f>'1d_Cooking'!E10&gt;=SUM('1d_Cooking'!E11+'1d_Cooking'!E12+'1d_Cooking'!E13)</f>
        <v>1</v>
      </c>
      <c r="E13" s="91" t="b">
        <f>'1d_Cooking'!F10&gt;=SUM('1d_Cooking'!F11+'1d_Cooking'!F12+'1d_Cooking'!F13)</f>
        <v>1</v>
      </c>
      <c r="F13" s="91" t="b">
        <f>'1d_Cooking'!G10&gt;=SUM('1d_Cooking'!G11+'1d_Cooking'!G12+'1d_Cooking'!G13)</f>
        <v>1</v>
      </c>
      <c r="G13" s="91" t="b">
        <f>'1d_Cooking'!H10&gt;=SUM('1d_Cooking'!H11+'1d_Cooking'!H12+'1d_Cooking'!H13)</f>
        <v>1</v>
      </c>
      <c r="H13" s="91" t="b">
        <f>'1d_Cooking'!I10&gt;=SUM('1d_Cooking'!I11+'1d_Cooking'!I12+'1d_Cooking'!I13)</f>
        <v>1</v>
      </c>
      <c r="I13" s="91" t="b">
        <f>'1d_Cooking'!J10&gt;=SUM('1d_Cooking'!J11+'1d_Cooking'!J12+'1d_Cooking'!J13)</f>
        <v>1</v>
      </c>
      <c r="J13" s="91" t="b">
        <f>'1d_Cooking'!K10&gt;=SUM('1d_Cooking'!K11+'1d_Cooking'!K12+'1d_Cooking'!K13)</f>
        <v>1</v>
      </c>
      <c r="K13" s="91" t="b">
        <f>'1d_Cooking'!L10&gt;=SUM('1d_Cooking'!L11+'1d_Cooking'!L12+'1d_Cooking'!L13)</f>
        <v>1</v>
      </c>
      <c r="L13" s="91" t="b">
        <f>'1d_Cooking'!M10&gt;=SUM('1d_Cooking'!M11+'1d_Cooking'!M12+'1d_Cooking'!M13)</f>
        <v>1</v>
      </c>
      <c r="M13" s="91" t="b">
        <f>'1d_Cooking'!N10&gt;=SUM('1d_Cooking'!N11+'1d_Cooking'!N12+'1d_Cooking'!N13)</f>
        <v>1</v>
      </c>
      <c r="N13" s="91" t="b">
        <f>'1d_Cooking'!O10&gt;=SUM('1d_Cooking'!O11+'1d_Cooking'!O12+'1d_Cooking'!O13)</f>
        <v>1</v>
      </c>
    </row>
    <row r="14" spans="1:14" x14ac:dyDescent="0.3">
      <c r="A14" t="s">
        <v>154</v>
      </c>
      <c r="B14" t="s">
        <v>161</v>
      </c>
      <c r="C14" s="91" t="b">
        <f>'1d_Cooking'!D14&gt;=SUM('1d_Cooking'!D15+'1d_Cooking'!D16+'1d_Cooking'!D17+'1d_Cooking'!D18)</f>
        <v>1</v>
      </c>
      <c r="D14" s="91" t="b">
        <f>'1d_Cooking'!E14&gt;=SUM('1d_Cooking'!E15+'1d_Cooking'!E16+'1d_Cooking'!E17+'1d_Cooking'!E18)</f>
        <v>1</v>
      </c>
      <c r="E14" s="91" t="b">
        <f>'1d_Cooking'!F14&gt;=SUM('1d_Cooking'!F15+'1d_Cooking'!F16+'1d_Cooking'!F17+'1d_Cooking'!F18)</f>
        <v>1</v>
      </c>
      <c r="F14" s="91" t="b">
        <f>'1d_Cooking'!G14&gt;=SUM('1d_Cooking'!G15+'1d_Cooking'!G16+'1d_Cooking'!G17+'1d_Cooking'!G18)</f>
        <v>1</v>
      </c>
      <c r="G14" s="91" t="b">
        <f>'1d_Cooking'!H14&gt;=SUM('1d_Cooking'!H15+'1d_Cooking'!H16+'1d_Cooking'!H17+'1d_Cooking'!H18)</f>
        <v>1</v>
      </c>
      <c r="H14" s="91" t="b">
        <f>'1d_Cooking'!I14&gt;=SUM('1d_Cooking'!I15+'1d_Cooking'!I16+'1d_Cooking'!I17+'1d_Cooking'!I18)</f>
        <v>1</v>
      </c>
      <c r="I14" s="91" t="b">
        <f>'1d_Cooking'!J14&gt;=SUM('1d_Cooking'!J15+'1d_Cooking'!J16+'1d_Cooking'!J17+'1d_Cooking'!J18)</f>
        <v>1</v>
      </c>
      <c r="J14" s="91" t="b">
        <f>'1d_Cooking'!K14&gt;=SUM('1d_Cooking'!K15+'1d_Cooking'!K16+'1d_Cooking'!K17+'1d_Cooking'!K18)</f>
        <v>1</v>
      </c>
      <c r="K14" s="91" t="b">
        <f>'1d_Cooking'!L14&gt;=SUM('1d_Cooking'!L15+'1d_Cooking'!L16+'1d_Cooking'!L17+'1d_Cooking'!L18)</f>
        <v>1</v>
      </c>
      <c r="L14" s="91" t="b">
        <f>'1d_Cooking'!M14&gt;=SUM('1d_Cooking'!M15+'1d_Cooking'!M16+'1d_Cooking'!M17+'1d_Cooking'!M18)</f>
        <v>1</v>
      </c>
      <c r="M14" s="91" t="b">
        <f>'1d_Cooking'!N14&gt;=SUM('1d_Cooking'!N15+'1d_Cooking'!N16+'1d_Cooking'!N17+'1d_Cooking'!N18)</f>
        <v>1</v>
      </c>
      <c r="N14" s="91" t="b">
        <f>'1d_Cooking'!O14&gt;=SUM('1d_Cooking'!O15+'1d_Cooking'!O16+'1d_Cooking'!O17+'1d_Cooking'!O18)</f>
        <v>1</v>
      </c>
    </row>
    <row r="15" spans="1:14" x14ac:dyDescent="0.3">
      <c r="A15" t="s">
        <v>155</v>
      </c>
      <c r="B15" t="s">
        <v>160</v>
      </c>
      <c r="C15" s="91" t="b">
        <f>'1f_OtherEndUses'!D10&gt;=SUM('1f_OtherEndUses'!D11+'1f_OtherEndUses'!D12+'1f_OtherEndUses'!D13)</f>
        <v>1</v>
      </c>
      <c r="D15" s="91" t="b">
        <f>'1f_OtherEndUses'!E10&gt;=SUM('1f_OtherEndUses'!E11+'1f_OtherEndUses'!E12+'1f_OtherEndUses'!E13)</f>
        <v>1</v>
      </c>
      <c r="E15" s="91" t="b">
        <f>'1f_OtherEndUses'!F10&gt;=SUM('1f_OtherEndUses'!F11+'1f_OtherEndUses'!F12+'1f_OtherEndUses'!F13)</f>
        <v>1</v>
      </c>
      <c r="F15" s="91" t="b">
        <f>'1f_OtherEndUses'!G10&gt;=SUM('1f_OtherEndUses'!G11+'1f_OtherEndUses'!G12+'1f_OtherEndUses'!G13)</f>
        <v>1</v>
      </c>
      <c r="G15" s="91" t="b">
        <f>'1f_OtherEndUses'!H10&gt;=SUM('1f_OtherEndUses'!H11+'1f_OtherEndUses'!H12+'1f_OtherEndUses'!H13)</f>
        <v>1</v>
      </c>
      <c r="H15" s="91" t="b">
        <f>'1f_OtherEndUses'!I10&gt;=SUM('1f_OtherEndUses'!I11+'1f_OtherEndUses'!I12+'1f_OtherEndUses'!I13)</f>
        <v>1</v>
      </c>
      <c r="I15" s="91" t="b">
        <f>'1f_OtherEndUses'!J10&gt;=SUM('1f_OtherEndUses'!J11+'1f_OtherEndUses'!J12+'1f_OtherEndUses'!J13)</f>
        <v>1</v>
      </c>
      <c r="J15" s="91" t="b">
        <f>'1f_OtherEndUses'!K10&gt;=SUM('1f_OtherEndUses'!K11+'1f_OtherEndUses'!K12+'1f_OtherEndUses'!K13)</f>
        <v>1</v>
      </c>
      <c r="K15" s="91" t="b">
        <f>'1f_OtherEndUses'!L10&gt;=SUM('1f_OtherEndUses'!L11+'1f_OtherEndUses'!L12+'1f_OtherEndUses'!L13)</f>
        <v>1</v>
      </c>
      <c r="L15" s="91" t="b">
        <f>'1f_OtherEndUses'!M10&gt;=SUM('1f_OtherEndUses'!M11+'1f_OtherEndUses'!M12+'1f_OtherEndUses'!M13)</f>
        <v>1</v>
      </c>
      <c r="M15" s="91" t="b">
        <f>'1f_OtherEndUses'!N10&gt;=SUM('1f_OtherEndUses'!N11+'1f_OtherEndUses'!N12+'1f_OtherEndUses'!N13)</f>
        <v>1</v>
      </c>
      <c r="N15" s="91" t="b">
        <f>'1f_OtherEndUses'!O10&gt;=SUM('1f_OtherEndUses'!O11+'1f_OtherEndUses'!O12+'1f_OtherEndUses'!O13)</f>
        <v>1</v>
      </c>
    </row>
    <row r="16" spans="1:14" x14ac:dyDescent="0.3">
      <c r="A16" t="s">
        <v>155</v>
      </c>
      <c r="B16" t="s">
        <v>161</v>
      </c>
      <c r="C16" s="91" t="b">
        <f>'1f_OtherEndUses'!D14&gt;=SUM('1f_OtherEndUses'!D15+'1f_OtherEndUses'!D16+'1f_OtherEndUses'!D17++'1f_OtherEndUses'!D18)</f>
        <v>1</v>
      </c>
      <c r="D16" s="91" t="b">
        <f>'1f_OtherEndUses'!E14&gt;=SUM('1f_OtherEndUses'!E15+'1f_OtherEndUses'!E16+'1f_OtherEndUses'!E17++'1f_OtherEndUses'!E18)</f>
        <v>1</v>
      </c>
      <c r="E16" s="91" t="b">
        <f>'1f_OtherEndUses'!F14&gt;=SUM('1f_OtherEndUses'!F15+'1f_OtherEndUses'!F16+'1f_OtherEndUses'!F17++'1f_OtherEndUses'!F18)</f>
        <v>1</v>
      </c>
      <c r="F16" s="91" t="b">
        <f>'1f_OtherEndUses'!G14&gt;=SUM('1f_OtherEndUses'!G15+'1f_OtherEndUses'!G16+'1f_OtherEndUses'!G17++'1f_OtherEndUses'!G18)</f>
        <v>1</v>
      </c>
      <c r="G16" s="91" t="b">
        <f>'1f_OtherEndUses'!H14&gt;=SUM('1f_OtherEndUses'!H15+'1f_OtherEndUses'!H16+'1f_OtherEndUses'!H17++'1f_OtherEndUses'!H18)</f>
        <v>1</v>
      </c>
      <c r="H16" s="91" t="b">
        <f>'1f_OtherEndUses'!I14&gt;=SUM('1f_OtherEndUses'!I15+'1f_OtherEndUses'!I16+'1f_OtherEndUses'!I17++'1f_OtherEndUses'!I18)</f>
        <v>1</v>
      </c>
      <c r="I16" s="91" t="b">
        <f>'1f_OtherEndUses'!J14&gt;=SUM('1f_OtherEndUses'!J15+'1f_OtherEndUses'!J16+'1f_OtherEndUses'!J17++'1f_OtherEndUses'!J18)</f>
        <v>1</v>
      </c>
      <c r="J16" s="91" t="b">
        <f>'1f_OtherEndUses'!K14&gt;=SUM('1f_OtherEndUses'!K15+'1f_OtherEndUses'!K16+'1f_OtherEndUses'!K17++'1f_OtherEndUses'!K18)</f>
        <v>1</v>
      </c>
      <c r="K16" s="91" t="b">
        <f>'1f_OtherEndUses'!L14&gt;=SUM('1f_OtherEndUses'!L15+'1f_OtherEndUses'!L16+'1f_OtherEndUses'!L17++'1f_OtherEndUses'!L18)</f>
        <v>1</v>
      </c>
      <c r="L16" s="91" t="b">
        <f>'1f_OtherEndUses'!M14&gt;=SUM('1f_OtherEndUses'!M15+'1f_OtherEndUses'!M16+'1f_OtherEndUses'!M17++'1f_OtherEndUses'!M18)</f>
        <v>1</v>
      </c>
      <c r="M16" s="91" t="b">
        <f>'1f_OtherEndUses'!N14&gt;=SUM('1f_OtherEndUses'!N15+'1f_OtherEndUses'!N16+'1f_OtherEndUses'!N17++'1f_OtherEndUses'!N18)</f>
        <v>1</v>
      </c>
      <c r="N16" s="91" t="b">
        <f>'1f_OtherEndUses'!O14&gt;=SUM('1f_OtherEndUses'!O15+'1f_OtherEndUses'!O16+'1f_OtherEndUses'!O17++'1f_OtherEndUses'!O18)</f>
        <v>1</v>
      </c>
    </row>
    <row r="17" spans="1:14" x14ac:dyDescent="0.3">
      <c r="A17" t="s">
        <v>152</v>
      </c>
      <c r="B17" t="s">
        <v>162</v>
      </c>
      <c r="C17" s="91" t="str">
        <f>IF('1a_SpaceHeating'!D9&gt;0,IF(AND(Calorific_Values!D9&lt;=30000,Calorific_Values!D9&gt;=5000),"TRUE","FALSE"),"TRUE")</f>
        <v>TRUE</v>
      </c>
      <c r="D17" s="91" t="str">
        <f>IF('1a_SpaceHeating'!E9&gt;0,IF(AND(Calorific_Values!E9&lt;=30000,Calorific_Values!E9&gt;=5000),"TRUE","FALSE"),"TRUE")</f>
        <v>TRUE</v>
      </c>
      <c r="E17" s="91" t="str">
        <f>IF('1a_SpaceHeating'!F9&gt;0,IF(AND(Calorific_Values!F9&lt;=30000,Calorific_Values!F9&gt;=5000),"TRUE","FALSE"),"TRUE")</f>
        <v>TRUE</v>
      </c>
      <c r="F17" s="91" t="str">
        <f>IF('1a_SpaceHeating'!G9&gt;0,IF(AND(Calorific_Values!G9&lt;=30000,Calorific_Values!G9&gt;=5000),"TRUE","FALSE"),"TRUE")</f>
        <v>TRUE</v>
      </c>
      <c r="G17" s="91" t="str">
        <f>IF('1a_SpaceHeating'!H9&gt;0,IF(AND(Calorific_Values!H9&lt;=30000,Calorific_Values!H9&gt;=5000),"TRUE","FALSE"),"TRUE")</f>
        <v>TRUE</v>
      </c>
      <c r="H17" s="91" t="str">
        <f>IF('1a_SpaceHeating'!I9&gt;0,IF(AND(Calorific_Values!I9&lt;=30000,Calorific_Values!I9&gt;=5000),"TRUE","FALSE"),"TRUE")</f>
        <v>TRUE</v>
      </c>
      <c r="I17" s="91" t="str">
        <f>IF('1a_SpaceHeating'!J9&gt;0,IF(AND(Calorific_Values!J9&lt;=30000,Calorific_Values!J9&gt;=5000),"TRUE","FALSE"),"TRUE")</f>
        <v>TRUE</v>
      </c>
      <c r="J17" s="91" t="str">
        <f>IF('1a_SpaceHeating'!K9&gt;0,IF(AND(Calorific_Values!K9&lt;=30000,Calorific_Values!K9&gt;=5000),"TRUE","FALSE"),"TRUE")</f>
        <v>TRUE</v>
      </c>
      <c r="K17" s="91" t="str">
        <f>IF('1a_SpaceHeating'!L9&gt;0,IF(AND(Calorific_Values!L9&lt;=30000,Calorific_Values!L9&gt;=5000),"TRUE","FALSE"),"TRUE")</f>
        <v>TRUE</v>
      </c>
      <c r="L17" s="91" t="str">
        <f>IF('1a_SpaceHeating'!M9&gt;0,IF(AND(Calorific_Values!M9&lt;=30000,Calorific_Values!M9&gt;=5000),"TRUE","FALSE"),"TRUE")</f>
        <v>TRUE</v>
      </c>
      <c r="M17" s="91" t="str">
        <f>IF('1a_SpaceHeating'!N9&gt;0,IF(AND(Calorific_Values!N9&lt;=30000,Calorific_Values!N9&gt;=5000),"TRUE","FALSE"),"TRUE")</f>
        <v>TRUE</v>
      </c>
      <c r="N17" s="91" t="str">
        <f>IF('1a_SpaceHeating'!O9&gt;0,IF(AND(Calorific_Values!O9&lt;=30000,Calorific_Values!O9&gt;=5000),"TRUE","FALSE"),"TRUE")</f>
        <v>TRUE</v>
      </c>
    </row>
    <row r="18" spans="1:14" x14ac:dyDescent="0.3">
      <c r="A18" t="s">
        <v>152</v>
      </c>
      <c r="B18" t="s">
        <v>163</v>
      </c>
      <c r="C18" s="91" t="str">
        <f>IF('1a_SpaceHeating'!D10&gt;0,IF(AND(Calorific_Values!D10&lt;=50000,Calorific_Values!D10&gt;=40000),"TRUE","FALSE"),"TRUE")</f>
        <v>TRUE</v>
      </c>
      <c r="D18" s="91" t="str">
        <f>IF('1a_SpaceHeating'!E10&gt;0,IF(AND(Calorific_Values!E10&lt;=50000,Calorific_Values!E10&gt;=40000),"TRUE","FALSE"),"TRUE")</f>
        <v>TRUE</v>
      </c>
      <c r="E18" s="91" t="str">
        <f>IF('1a_SpaceHeating'!F10&gt;0,IF(AND(Calorific_Values!F10&lt;=50000,Calorific_Values!F10&gt;=40000),"TRUE","FALSE"),"TRUE")</f>
        <v>TRUE</v>
      </c>
      <c r="F18" s="91" t="str">
        <f>IF('1a_SpaceHeating'!G10&gt;0,IF(AND(Calorific_Values!G10&lt;=50000,Calorific_Values!G10&gt;=40000),"TRUE","FALSE"),"TRUE")</f>
        <v>TRUE</v>
      </c>
      <c r="G18" s="91" t="str">
        <f>IF('1a_SpaceHeating'!H10&gt;0,IF(AND(Calorific_Values!H10&lt;=50000,Calorific_Values!H10&gt;=40000),"TRUE","FALSE"),"TRUE")</f>
        <v>TRUE</v>
      </c>
      <c r="H18" s="91" t="str">
        <f>IF('1a_SpaceHeating'!I10&gt;0,IF(AND(Calorific_Values!I10&lt;=50000,Calorific_Values!I10&gt;=40000),"TRUE","FALSE"),"TRUE")</f>
        <v>TRUE</v>
      </c>
      <c r="I18" s="91" t="str">
        <f>IF('1a_SpaceHeating'!J10&gt;0,IF(AND(Calorific_Values!J10&lt;=50000,Calorific_Values!J10&gt;=40000),"TRUE","FALSE"),"TRUE")</f>
        <v>TRUE</v>
      </c>
      <c r="J18" s="91" t="str">
        <f>IF('1a_SpaceHeating'!K10&gt;0,IF(AND(Calorific_Values!K10&lt;=50000,Calorific_Values!K10&gt;=40000),"TRUE","FALSE"),"TRUE")</f>
        <v>TRUE</v>
      </c>
      <c r="K18" s="91" t="str">
        <f>IF('1a_SpaceHeating'!L10&gt;0,IF(AND(Calorific_Values!L10&lt;=50000,Calorific_Values!L10&gt;=40000),"TRUE","FALSE"),"TRUE")</f>
        <v>TRUE</v>
      </c>
      <c r="L18" s="91" t="str">
        <f>IF('1a_SpaceHeating'!M10&gt;0,IF(AND(Calorific_Values!M10&lt;=50000,Calorific_Values!M10&gt;=40000),"TRUE","FALSE"),"TRUE")</f>
        <v>TRUE</v>
      </c>
      <c r="M18" s="91" t="str">
        <f>IF('1a_SpaceHeating'!N10&gt;0,IF(AND(Calorific_Values!N10&lt;=50000,Calorific_Values!N10&gt;=40000),"TRUE","FALSE"),"TRUE")</f>
        <v>TRUE</v>
      </c>
      <c r="N18" s="91" t="str">
        <f>IF('1a_SpaceHeating'!O10&gt;0,IF(AND(Calorific_Values!O10&lt;=50000,Calorific_Values!O10&gt;=40000),"TRUE","FALSE"),"TRUE")</f>
        <v>TRUE</v>
      </c>
    </row>
    <row r="19" spans="1:14" x14ac:dyDescent="0.3">
      <c r="A19" t="s">
        <v>152</v>
      </c>
      <c r="B19" t="s">
        <v>164</v>
      </c>
      <c r="C19" s="91" t="str">
        <f>IF('1a_SpaceHeating'!D11&gt;0,IF(AND(Calorific_Values!D11&lt;=50000,Calorific_Values!D11&gt;=40000),"TRUE","FALSE"),"TRUE")</f>
        <v>TRUE</v>
      </c>
      <c r="D19" s="91" t="str">
        <f>IF('1a_SpaceHeating'!E11&gt;0,IF(AND(Calorific_Values!E11&lt;=50000,Calorific_Values!E11&gt;=40000),"TRUE","FALSE"),"TRUE")</f>
        <v>TRUE</v>
      </c>
      <c r="E19" s="91" t="str">
        <f>IF('1a_SpaceHeating'!F11&gt;0,IF(AND(Calorific_Values!F11&lt;=50000,Calorific_Values!F11&gt;=40000),"TRUE","FALSE"),"TRUE")</f>
        <v>TRUE</v>
      </c>
      <c r="F19" s="91" t="str">
        <f>IF('1a_SpaceHeating'!G11&gt;0,IF(AND(Calorific_Values!G11&lt;=50000,Calorific_Values!G11&gt;=40000),"TRUE","FALSE"),"TRUE")</f>
        <v>TRUE</v>
      </c>
      <c r="G19" s="91" t="str">
        <f>IF('1a_SpaceHeating'!H11&gt;0,IF(AND(Calorific_Values!H11&lt;=50000,Calorific_Values!H11&gt;=40000),"TRUE","FALSE"),"TRUE")</f>
        <v>TRUE</v>
      </c>
      <c r="H19" s="91" t="str">
        <f>IF('1a_SpaceHeating'!I11&gt;0,IF(AND(Calorific_Values!I11&lt;=50000,Calorific_Values!I11&gt;=40000),"TRUE","FALSE"),"TRUE")</f>
        <v>TRUE</v>
      </c>
      <c r="I19" s="91" t="str">
        <f>IF('1a_SpaceHeating'!J11&gt;0,IF(AND(Calorific_Values!J11&lt;=50000,Calorific_Values!J11&gt;=40000),"TRUE","FALSE"),"TRUE")</f>
        <v>TRUE</v>
      </c>
      <c r="J19" s="91" t="str">
        <f>IF('1a_SpaceHeating'!K11&gt;0,IF(AND(Calorific_Values!K11&lt;=50000,Calorific_Values!K11&gt;=40000),"TRUE","FALSE"),"TRUE")</f>
        <v>TRUE</v>
      </c>
      <c r="K19" s="91" t="str">
        <f>IF('1a_SpaceHeating'!L11&gt;0,IF(AND(Calorific_Values!L11&lt;=50000,Calorific_Values!L11&gt;=40000),"TRUE","FALSE"),"TRUE")</f>
        <v>TRUE</v>
      </c>
      <c r="L19" s="91" t="str">
        <f>IF('1a_SpaceHeating'!M11&gt;0,IF(AND(Calorific_Values!M11&lt;=50000,Calorific_Values!M11&gt;=40000),"TRUE","FALSE"),"TRUE")</f>
        <v>TRUE</v>
      </c>
      <c r="M19" s="91" t="str">
        <f>IF('1a_SpaceHeating'!N11&gt;0,IF(AND(Calorific_Values!N11&lt;=50000,Calorific_Values!N11&gt;=40000),"TRUE","FALSE"),"TRUE")</f>
        <v>TRUE</v>
      </c>
      <c r="N19" s="91" t="str">
        <f>IF('1a_SpaceHeating'!O11&gt;0,IF(AND(Calorific_Values!O11&lt;=50000,Calorific_Values!O11&gt;=40000),"TRUE","FALSE"),"TRUE")</f>
        <v>TRUE</v>
      </c>
    </row>
    <row r="20" spans="1:14" x14ac:dyDescent="0.3">
      <c r="A20" t="s">
        <v>152</v>
      </c>
      <c r="B20" t="s">
        <v>165</v>
      </c>
      <c r="C20" s="91" t="str">
        <f>IF('1a_SpaceHeating'!D12&gt;0,IF(AND(Calorific_Values!D12&lt;=45000,Calorific_Values!D12&gt;=40000),"TRUE","FALSE"),"TRUE")</f>
        <v>TRUE</v>
      </c>
      <c r="D20" s="91" t="str">
        <f>IF('1a_SpaceHeating'!E12&gt;0,IF(AND(Calorific_Values!E12&lt;=45000,Calorific_Values!E12&gt;=40000),"TRUE","FALSE"),"TRUE")</f>
        <v>TRUE</v>
      </c>
      <c r="E20" s="91" t="str">
        <f>IF('1a_SpaceHeating'!F12&gt;0,IF(AND(Calorific_Values!F12&lt;=45000,Calorific_Values!F12&gt;=40000),"TRUE","FALSE"),"TRUE")</f>
        <v>TRUE</v>
      </c>
      <c r="F20" s="91" t="str">
        <f>IF('1a_SpaceHeating'!G12&gt;0,IF(AND(Calorific_Values!G12&lt;=45000,Calorific_Values!G12&gt;=40000),"TRUE","FALSE"),"TRUE")</f>
        <v>TRUE</v>
      </c>
      <c r="G20" s="91" t="str">
        <f>IF('1a_SpaceHeating'!H12&gt;0,IF(AND(Calorific_Values!H12&lt;=45000,Calorific_Values!H12&gt;=40000),"TRUE","FALSE"),"TRUE")</f>
        <v>TRUE</v>
      </c>
      <c r="H20" s="91" t="str">
        <f>IF('1a_SpaceHeating'!I12&gt;0,IF(AND(Calorific_Values!I12&lt;=45000,Calorific_Values!I12&gt;=40000),"TRUE","FALSE"),"TRUE")</f>
        <v>TRUE</v>
      </c>
      <c r="I20" s="91" t="str">
        <f>IF('1a_SpaceHeating'!J12&gt;0,IF(AND(Calorific_Values!J12&lt;=45000,Calorific_Values!J12&gt;=40000),"TRUE","FALSE"),"TRUE")</f>
        <v>TRUE</v>
      </c>
      <c r="J20" s="91" t="str">
        <f>IF('1a_SpaceHeating'!K12&gt;0,IF(AND(Calorific_Values!K12&lt;=45000,Calorific_Values!K12&gt;=40000),"TRUE","FALSE"),"TRUE")</f>
        <v>TRUE</v>
      </c>
      <c r="K20" s="91" t="str">
        <f>IF('1a_SpaceHeating'!L12&gt;0,IF(AND(Calorific_Values!L12&lt;=45000,Calorific_Values!L12&gt;=40000),"TRUE","FALSE"),"TRUE")</f>
        <v>TRUE</v>
      </c>
      <c r="L20" s="91" t="str">
        <f>IF('1a_SpaceHeating'!M12&gt;0,IF(AND(Calorific_Values!M12&lt;=45000,Calorific_Values!M12&gt;=40000),"TRUE","FALSE"),"TRUE")</f>
        <v>TRUE</v>
      </c>
      <c r="M20" s="91" t="str">
        <f>IF('1a_SpaceHeating'!N12&gt;0,IF(AND(Calorific_Values!N12&lt;=45000,Calorific_Values!N12&gt;=40000),"TRUE","FALSE"),"TRUE")</f>
        <v>TRUE</v>
      </c>
      <c r="N20" s="91" t="str">
        <f>IF('1a_SpaceHeating'!O12&gt;0,IF(AND(Calorific_Values!O12&lt;=45000,Calorific_Values!O12&gt;=40000),"TRUE","FALSE"),"TRUE")</f>
        <v>TRUE</v>
      </c>
    </row>
    <row r="21" spans="1:14" x14ac:dyDescent="0.3">
      <c r="A21" t="s">
        <v>152</v>
      </c>
      <c r="B21" t="s">
        <v>166</v>
      </c>
      <c r="C21" s="91" t="str">
        <f>IF('1a_SpaceHeating'!D13&gt;0,IF(AND(Calorific_Values!D13&lt;=45000,Calorific_Values!D13&gt;=40000),"TRUE","FALSE"),"TRUE")</f>
        <v>TRUE</v>
      </c>
      <c r="D21" s="91" t="str">
        <f>IF('1a_SpaceHeating'!E13&gt;0,IF(AND(Calorific_Values!E13&lt;=45000,Calorific_Values!E13&gt;=40000),"TRUE","FALSE"),"TRUE")</f>
        <v>TRUE</v>
      </c>
      <c r="E21" s="91" t="str">
        <f>IF('1a_SpaceHeating'!F13&gt;0,IF(AND(Calorific_Values!F13&lt;=45000,Calorific_Values!F13&gt;=40000),"TRUE","FALSE"),"TRUE")</f>
        <v>TRUE</v>
      </c>
      <c r="F21" s="91" t="str">
        <f>IF('1a_SpaceHeating'!G13&gt;0,IF(AND(Calorific_Values!G13&lt;=45000,Calorific_Values!G13&gt;=40000),"TRUE","FALSE"),"TRUE")</f>
        <v>TRUE</v>
      </c>
      <c r="G21" s="91" t="str">
        <f>IF('1a_SpaceHeating'!H13&gt;0,IF(AND(Calorific_Values!H13&lt;=45000,Calorific_Values!H13&gt;=40000),"TRUE","FALSE"),"TRUE")</f>
        <v>TRUE</v>
      </c>
      <c r="H21" s="91" t="str">
        <f>IF('1a_SpaceHeating'!I13&gt;0,IF(AND(Calorific_Values!I13&lt;=45000,Calorific_Values!I13&gt;=40000),"TRUE","FALSE"),"TRUE")</f>
        <v>TRUE</v>
      </c>
      <c r="I21" s="91" t="str">
        <f>IF('1a_SpaceHeating'!J13&gt;0,IF(AND(Calorific_Values!J13&lt;=45000,Calorific_Values!J13&gt;=40000),"TRUE","FALSE"),"TRUE")</f>
        <v>TRUE</v>
      </c>
      <c r="J21" s="91" t="str">
        <f>IF('1a_SpaceHeating'!K13&gt;0,IF(AND(Calorific_Values!K13&lt;=45000,Calorific_Values!K13&gt;=40000),"TRUE","FALSE"),"TRUE")</f>
        <v>TRUE</v>
      </c>
      <c r="K21" s="91" t="str">
        <f>IF('1a_SpaceHeating'!L13&gt;0,IF(AND(Calorific_Values!L13&lt;=45000,Calorific_Values!L13&gt;=40000),"TRUE","FALSE"),"TRUE")</f>
        <v>TRUE</v>
      </c>
      <c r="L21" s="91" t="str">
        <f>IF('1a_SpaceHeating'!M13&gt;0,IF(AND(Calorific_Values!M13&lt;=45000,Calorific_Values!M13&gt;=40000),"TRUE","FALSE"),"TRUE")</f>
        <v>TRUE</v>
      </c>
      <c r="M21" s="91" t="str">
        <f>IF('1a_SpaceHeating'!N13&gt;0,IF(AND(Calorific_Values!N13&lt;=45000,Calorific_Values!N13&gt;=40000),"TRUE","FALSE"),"TRUE")</f>
        <v>TRUE</v>
      </c>
      <c r="N21" s="91" t="str">
        <f>IF('1a_SpaceHeating'!O13&gt;0,IF(AND(Calorific_Values!O13&lt;=45000,Calorific_Values!O13&gt;=40000),"TRUE","FALSE"),"TRUE")</f>
        <v>TRUE</v>
      </c>
    </row>
    <row r="22" spans="1:14" x14ac:dyDescent="0.3">
      <c r="A22" t="s">
        <v>169</v>
      </c>
      <c r="B22" t="s">
        <v>162</v>
      </c>
      <c r="C22" s="91" t="str">
        <f>IF('1b_SpaceCooling'!D9&gt;0,IF(AND(Calorific_Values!D9&lt;=30000,Calorific_Values!D9&gt;=5000),"TRUE","FALSE"),"TRUE")</f>
        <v>TRUE</v>
      </c>
      <c r="D22" s="91" t="str">
        <f>IF('1b_SpaceCooling'!E9&gt;0,IF(AND(Calorific_Values!E9&lt;=30000,Calorific_Values!E9&gt;=5000),"TRUE","FALSE"),"TRUE")</f>
        <v>TRUE</v>
      </c>
      <c r="E22" s="91" t="str">
        <f>IF('1b_SpaceCooling'!F9&gt;0,IF(AND(Calorific_Values!F9&lt;=30000,Calorific_Values!F9&gt;=5000),"TRUE","FALSE"),"TRUE")</f>
        <v>TRUE</v>
      </c>
      <c r="F22" s="91" t="str">
        <f>IF('1b_SpaceCooling'!G9&gt;0,IF(AND(Calorific_Values!G9&lt;=30000,Calorific_Values!G9&gt;=5000),"TRUE","FALSE"),"TRUE")</f>
        <v>TRUE</v>
      </c>
      <c r="G22" s="91" t="str">
        <f>IF('1b_SpaceCooling'!H9&gt;0,IF(AND(Calorific_Values!H9&lt;=30000,Calorific_Values!H9&gt;=5000),"TRUE","FALSE"),"TRUE")</f>
        <v>TRUE</v>
      </c>
      <c r="H22" s="91" t="str">
        <f>IF('1b_SpaceCooling'!I9&gt;0,IF(AND(Calorific_Values!I9&lt;=30000,Calorific_Values!I9&gt;=5000),"TRUE","FALSE"),"TRUE")</f>
        <v>TRUE</v>
      </c>
      <c r="I22" s="91" t="str">
        <f>IF('1b_SpaceCooling'!J9&gt;0,IF(AND(Calorific_Values!J9&lt;=30000,Calorific_Values!J9&gt;=5000),"TRUE","FALSE"),"TRUE")</f>
        <v>TRUE</v>
      </c>
      <c r="J22" s="91" t="str">
        <f>IF('1b_SpaceCooling'!K9&gt;0,IF(AND(Calorific_Values!K9&lt;=30000,Calorific_Values!K9&gt;=5000),"TRUE","FALSE"),"TRUE")</f>
        <v>TRUE</v>
      </c>
      <c r="K22" s="91" t="str">
        <f>IF('1b_SpaceCooling'!L9&gt;0,IF(AND(Calorific_Values!L9&lt;=30000,Calorific_Values!L9&gt;=5000),"TRUE","FALSE"),"TRUE")</f>
        <v>TRUE</v>
      </c>
      <c r="L22" s="91" t="str">
        <f>IF('1b_SpaceCooling'!M9&gt;0,IF(AND(Calorific_Values!M9&lt;=30000,Calorific_Values!M9&gt;=5000),"TRUE","FALSE"),"TRUE")</f>
        <v>TRUE</v>
      </c>
      <c r="M22" s="91" t="str">
        <f>IF('1b_SpaceCooling'!N9&gt;0,IF(AND(Calorific_Values!N9&lt;=30000,Calorific_Values!N9&gt;=5000),"TRUE","FALSE"),"TRUE")</f>
        <v>TRUE</v>
      </c>
      <c r="N22" s="91" t="str">
        <f>IF('1b_SpaceCooling'!O9&gt;0,IF(AND(Calorific_Values!O9&lt;=30000,Calorific_Values!O9&gt;=5000),"TRUE","FALSE"),"TRUE")</f>
        <v>TRUE</v>
      </c>
    </row>
    <row r="23" spans="1:14" x14ac:dyDescent="0.3">
      <c r="A23" t="s">
        <v>169</v>
      </c>
      <c r="B23" t="s">
        <v>163</v>
      </c>
      <c r="C23" s="91" t="str">
        <f>IF('1b_SpaceCooling'!D10&gt;0,IF(AND(Calorific_Values!D10&lt;=30000,Calorific_Values!D10&gt;=5000),"TRUE","FALSE"),"TRUE")</f>
        <v>TRUE</v>
      </c>
      <c r="D23" s="91" t="str">
        <f>IF('1b_SpaceCooling'!E10&gt;0,IF(AND(Calorific_Values!E10&lt;=30000,Calorific_Values!E10&gt;=5000),"TRUE","FALSE"),"TRUE")</f>
        <v>TRUE</v>
      </c>
      <c r="E23" s="91" t="str">
        <f>IF('1b_SpaceCooling'!F10&gt;0,IF(AND(Calorific_Values!F10&lt;=30000,Calorific_Values!F10&gt;=5000),"TRUE","FALSE"),"TRUE")</f>
        <v>TRUE</v>
      </c>
      <c r="F23" s="91" t="str">
        <f>IF('1b_SpaceCooling'!G10&gt;0,IF(AND(Calorific_Values!G10&lt;=30000,Calorific_Values!G10&gt;=5000),"TRUE","FALSE"),"TRUE")</f>
        <v>TRUE</v>
      </c>
      <c r="G23" s="91" t="str">
        <f>IF('1b_SpaceCooling'!H10&gt;0,IF(AND(Calorific_Values!H10&lt;=30000,Calorific_Values!H10&gt;=5000),"TRUE","FALSE"),"TRUE")</f>
        <v>TRUE</v>
      </c>
      <c r="H23" s="91" t="str">
        <f>IF('1b_SpaceCooling'!I10&gt;0,IF(AND(Calorific_Values!I10&lt;=30000,Calorific_Values!I10&gt;=5000),"TRUE","FALSE"),"TRUE")</f>
        <v>TRUE</v>
      </c>
      <c r="I23" s="91" t="str">
        <f>IF('1b_SpaceCooling'!J10&gt;0,IF(AND(Calorific_Values!J10&lt;=30000,Calorific_Values!J10&gt;=5000),"TRUE","FALSE"),"TRUE")</f>
        <v>TRUE</v>
      </c>
      <c r="J23" s="91" t="str">
        <f>IF('1b_SpaceCooling'!K10&gt;0,IF(AND(Calorific_Values!K10&lt;=30000,Calorific_Values!K10&gt;=5000),"TRUE","FALSE"),"TRUE")</f>
        <v>TRUE</v>
      </c>
      <c r="K23" s="91" t="str">
        <f>IF('1b_SpaceCooling'!L10&gt;0,IF(AND(Calorific_Values!L10&lt;=30000,Calorific_Values!L10&gt;=5000),"TRUE","FALSE"),"TRUE")</f>
        <v>TRUE</v>
      </c>
      <c r="L23" s="91" t="str">
        <f>IF('1b_SpaceCooling'!M10&gt;0,IF(AND(Calorific_Values!M10&lt;=30000,Calorific_Values!M10&gt;=5000),"TRUE","FALSE"),"TRUE")</f>
        <v>TRUE</v>
      </c>
      <c r="M23" s="91" t="str">
        <f>IF('1b_SpaceCooling'!N10&gt;0,IF(AND(Calorific_Values!N10&lt;=30000,Calorific_Values!N10&gt;=5000),"TRUE","FALSE"),"TRUE")</f>
        <v>TRUE</v>
      </c>
      <c r="N23" s="91" t="str">
        <f>IF('1b_SpaceCooling'!O10&gt;0,IF(AND(Calorific_Values!O10&lt;=30000,Calorific_Values!O10&gt;=5000),"TRUE","FALSE"),"TRUE")</f>
        <v>TRUE</v>
      </c>
    </row>
    <row r="24" spans="1:14" x14ac:dyDescent="0.3">
      <c r="A24" t="s">
        <v>169</v>
      </c>
      <c r="B24" t="s">
        <v>164</v>
      </c>
      <c r="C24" s="91" t="str">
        <f>IF('1b_SpaceCooling'!D11&gt;0,IF(AND(Calorific_Values!D11&lt;=30000,Calorific_Values!D11&gt;=5000),"TRUE","FALSE"),"TRUE")</f>
        <v>TRUE</v>
      </c>
      <c r="D24" s="91" t="str">
        <f>IF('1b_SpaceCooling'!E11&gt;0,IF(AND(Calorific_Values!E11&lt;=30000,Calorific_Values!E11&gt;=5000),"TRUE","FALSE"),"TRUE")</f>
        <v>TRUE</v>
      </c>
      <c r="E24" s="91" t="str">
        <f>IF('1b_SpaceCooling'!F11&gt;0,IF(AND(Calorific_Values!F11&lt;=30000,Calorific_Values!F11&gt;=5000),"TRUE","FALSE"),"TRUE")</f>
        <v>TRUE</v>
      </c>
      <c r="F24" s="91" t="str">
        <f>IF('1b_SpaceCooling'!G11&gt;0,IF(AND(Calorific_Values!G11&lt;=30000,Calorific_Values!G11&gt;=5000),"TRUE","FALSE"),"TRUE")</f>
        <v>TRUE</v>
      </c>
      <c r="G24" s="91" t="str">
        <f>IF('1b_SpaceCooling'!H11&gt;0,IF(AND(Calorific_Values!H11&lt;=30000,Calorific_Values!H11&gt;=5000),"TRUE","FALSE"),"TRUE")</f>
        <v>TRUE</v>
      </c>
      <c r="H24" s="91" t="str">
        <f>IF('1b_SpaceCooling'!I11&gt;0,IF(AND(Calorific_Values!I11&lt;=30000,Calorific_Values!I11&gt;=5000),"TRUE","FALSE"),"TRUE")</f>
        <v>TRUE</v>
      </c>
      <c r="I24" s="91" t="str">
        <f>IF('1b_SpaceCooling'!J11&gt;0,IF(AND(Calorific_Values!J11&lt;=30000,Calorific_Values!J11&gt;=5000),"TRUE","FALSE"),"TRUE")</f>
        <v>TRUE</v>
      </c>
      <c r="J24" s="91" t="str">
        <f>IF('1b_SpaceCooling'!K11&gt;0,IF(AND(Calorific_Values!K11&lt;=30000,Calorific_Values!K11&gt;=5000),"TRUE","FALSE"),"TRUE")</f>
        <v>TRUE</v>
      </c>
      <c r="K24" s="91" t="str">
        <f>IF('1b_SpaceCooling'!L11&gt;0,IF(AND(Calorific_Values!L11&lt;=30000,Calorific_Values!L11&gt;=5000),"TRUE","FALSE"),"TRUE")</f>
        <v>TRUE</v>
      </c>
      <c r="L24" s="91" t="str">
        <f>IF('1b_SpaceCooling'!M11&gt;0,IF(AND(Calorific_Values!M11&lt;=30000,Calorific_Values!M11&gt;=5000),"TRUE","FALSE"),"TRUE")</f>
        <v>TRUE</v>
      </c>
      <c r="M24" s="91" t="str">
        <f>IF('1b_SpaceCooling'!N11&gt;0,IF(AND(Calorific_Values!N11&lt;=30000,Calorific_Values!N11&gt;=5000),"TRUE","FALSE"),"TRUE")</f>
        <v>TRUE</v>
      </c>
      <c r="N24" s="91" t="str">
        <f>IF('1b_SpaceCooling'!O11&gt;0,IF(AND(Calorific_Values!O11&lt;=30000,Calorific_Values!O11&gt;=5000),"TRUE","FALSE"),"TRUE")</f>
        <v>TRUE</v>
      </c>
    </row>
    <row r="25" spans="1:14" x14ac:dyDescent="0.3">
      <c r="A25" t="s">
        <v>169</v>
      </c>
      <c r="B25" t="s">
        <v>165</v>
      </c>
      <c r="C25" s="91" t="str">
        <f>IF('1b_SpaceCooling'!D12&gt;0,IF(AND(Calorific_Values!D12&lt;=30000,Calorific_Values!D12&gt;=5000),"TRUE","FALSE"),"TRUE")</f>
        <v>TRUE</v>
      </c>
      <c r="D25" s="91" t="str">
        <f>IF('1b_SpaceCooling'!E12&gt;0,IF(AND(Calorific_Values!E12&lt;=30000,Calorific_Values!E12&gt;=5000),"TRUE","FALSE"),"TRUE")</f>
        <v>TRUE</v>
      </c>
      <c r="E25" s="91" t="str">
        <f>IF('1b_SpaceCooling'!F12&gt;0,IF(AND(Calorific_Values!F12&lt;=30000,Calorific_Values!F12&gt;=5000),"TRUE","FALSE"),"TRUE")</f>
        <v>TRUE</v>
      </c>
      <c r="F25" s="91" t="str">
        <f>IF('1b_SpaceCooling'!G12&gt;0,IF(AND(Calorific_Values!G12&lt;=30000,Calorific_Values!G12&gt;=5000),"TRUE","FALSE"),"TRUE")</f>
        <v>TRUE</v>
      </c>
      <c r="G25" s="91" t="str">
        <f>IF('1b_SpaceCooling'!H12&gt;0,IF(AND(Calorific_Values!H12&lt;=30000,Calorific_Values!H12&gt;=5000),"TRUE","FALSE"),"TRUE")</f>
        <v>TRUE</v>
      </c>
      <c r="H25" s="91" t="str">
        <f>IF('1b_SpaceCooling'!I12&gt;0,IF(AND(Calorific_Values!I12&lt;=30000,Calorific_Values!I12&gt;=5000),"TRUE","FALSE"),"TRUE")</f>
        <v>TRUE</v>
      </c>
      <c r="I25" s="91" t="str">
        <f>IF('1b_SpaceCooling'!J12&gt;0,IF(AND(Calorific_Values!J12&lt;=30000,Calorific_Values!J12&gt;=5000),"TRUE","FALSE"),"TRUE")</f>
        <v>TRUE</v>
      </c>
      <c r="J25" s="91" t="str">
        <f>IF('1b_SpaceCooling'!K12&gt;0,IF(AND(Calorific_Values!K12&lt;=30000,Calorific_Values!K12&gt;=5000),"TRUE","FALSE"),"TRUE")</f>
        <v>TRUE</v>
      </c>
      <c r="K25" s="91" t="str">
        <f>IF('1b_SpaceCooling'!L12&gt;0,IF(AND(Calorific_Values!L12&lt;=30000,Calorific_Values!L12&gt;=5000),"TRUE","FALSE"),"TRUE")</f>
        <v>TRUE</v>
      </c>
      <c r="L25" s="91" t="str">
        <f>IF('1b_SpaceCooling'!M12&gt;0,IF(AND(Calorific_Values!M12&lt;=30000,Calorific_Values!M12&gt;=5000),"TRUE","FALSE"),"TRUE")</f>
        <v>TRUE</v>
      </c>
      <c r="M25" s="91" t="str">
        <f>IF('1b_SpaceCooling'!N12&gt;0,IF(AND(Calorific_Values!N12&lt;=30000,Calorific_Values!N12&gt;=5000),"TRUE","FALSE"),"TRUE")</f>
        <v>TRUE</v>
      </c>
      <c r="N25" s="91" t="str">
        <f>IF('1b_SpaceCooling'!O12&gt;0,IF(AND(Calorific_Values!O12&lt;=30000,Calorific_Values!O12&gt;=5000),"TRUE","FALSE"),"TRUE")</f>
        <v>TRUE</v>
      </c>
    </row>
    <row r="26" spans="1:14" x14ac:dyDescent="0.3">
      <c r="A26" t="s">
        <v>169</v>
      </c>
      <c r="B26" t="s">
        <v>166</v>
      </c>
      <c r="C26" s="91" t="str">
        <f>IF('1b_SpaceCooling'!D13&gt;0,IF(AND(Calorific_Values!D13&lt;=30000,Calorific_Values!D13&gt;=5000),"TRUE","FALSE"),"TRUE")</f>
        <v>TRUE</v>
      </c>
      <c r="D26" s="91" t="str">
        <f>IF('1b_SpaceCooling'!E13&gt;0,IF(AND(Calorific_Values!E13&lt;=30000,Calorific_Values!E13&gt;=5000),"TRUE","FALSE"),"TRUE")</f>
        <v>TRUE</v>
      </c>
      <c r="E26" s="91" t="str">
        <f>IF('1b_SpaceCooling'!F13&gt;0,IF(AND(Calorific_Values!F13&lt;=30000,Calorific_Values!F13&gt;=5000),"TRUE","FALSE"),"TRUE")</f>
        <v>TRUE</v>
      </c>
      <c r="F26" s="91" t="str">
        <f>IF('1b_SpaceCooling'!G13&gt;0,IF(AND(Calorific_Values!G13&lt;=30000,Calorific_Values!G13&gt;=5000),"TRUE","FALSE"),"TRUE")</f>
        <v>TRUE</v>
      </c>
      <c r="G26" s="91" t="str">
        <f>IF('1b_SpaceCooling'!H13&gt;0,IF(AND(Calorific_Values!H13&lt;=30000,Calorific_Values!H13&gt;=5000),"TRUE","FALSE"),"TRUE")</f>
        <v>TRUE</v>
      </c>
      <c r="H26" s="91" t="str">
        <f>IF('1b_SpaceCooling'!I13&gt;0,IF(AND(Calorific_Values!I13&lt;=30000,Calorific_Values!I13&gt;=5000),"TRUE","FALSE"),"TRUE")</f>
        <v>TRUE</v>
      </c>
      <c r="I26" s="91" t="str">
        <f>IF('1b_SpaceCooling'!J13&gt;0,IF(AND(Calorific_Values!J13&lt;=30000,Calorific_Values!J13&gt;=5000),"TRUE","FALSE"),"TRUE")</f>
        <v>TRUE</v>
      </c>
      <c r="J26" s="91" t="str">
        <f>IF('1b_SpaceCooling'!K13&gt;0,IF(AND(Calorific_Values!K13&lt;=30000,Calorific_Values!K13&gt;=5000),"TRUE","FALSE"),"TRUE")</f>
        <v>TRUE</v>
      </c>
      <c r="K26" s="91" t="str">
        <f>IF('1b_SpaceCooling'!L13&gt;0,IF(AND(Calorific_Values!L13&lt;=30000,Calorific_Values!L13&gt;=5000),"TRUE","FALSE"),"TRUE")</f>
        <v>TRUE</v>
      </c>
      <c r="L26" s="91" t="str">
        <f>IF('1b_SpaceCooling'!M13&gt;0,IF(AND(Calorific_Values!M13&lt;=30000,Calorific_Values!M13&gt;=5000),"TRUE","FALSE"),"TRUE")</f>
        <v>TRUE</v>
      </c>
      <c r="M26" s="91" t="str">
        <f>IF('1b_SpaceCooling'!N13&gt;0,IF(AND(Calorific_Values!N13&lt;=30000,Calorific_Values!N13&gt;=5000),"TRUE","FALSE"),"TRUE")</f>
        <v>TRUE</v>
      </c>
      <c r="N26" s="91" t="str">
        <f>IF('1b_SpaceCooling'!O13&gt;0,IF(AND(Calorific_Values!O13&lt;=30000,Calorific_Values!O13&gt;=5000),"TRUE","FALSE"),"TRUE")</f>
        <v>TRUE</v>
      </c>
    </row>
    <row r="27" spans="1:14" x14ac:dyDescent="0.3">
      <c r="A27" t="s">
        <v>153</v>
      </c>
      <c r="B27" t="s">
        <v>167</v>
      </c>
      <c r="C27" s="91" t="str">
        <f>IF('1c_WaterHeating'!D9&gt;0,IF(AND(Calorific_Values!D9&lt;=30000,Calorific_Values!D9&gt;=5000),"TRUE","FALSE"),"TRUE")</f>
        <v>TRUE</v>
      </c>
      <c r="D27" s="91" t="str">
        <f>IF('1c_WaterHeating'!E9&gt;0,IF(AND(Calorific_Values!E9&lt;=30000,Calorific_Values!E9&gt;=5000),"TRUE","FALSE"),"TRUE")</f>
        <v>TRUE</v>
      </c>
      <c r="E27" s="91" t="str">
        <f>IF('1c_WaterHeating'!F9&gt;0,IF(AND(Calorific_Values!F9&lt;=30000,Calorific_Values!F9&gt;=5000),"TRUE","FALSE"),"TRUE")</f>
        <v>TRUE</v>
      </c>
      <c r="F27" s="91" t="str">
        <f>IF('1c_WaterHeating'!G9&gt;0,IF(AND(Calorific_Values!G9&lt;=30000,Calorific_Values!G9&gt;=5000),"TRUE","FALSE"),"TRUE")</f>
        <v>TRUE</v>
      </c>
      <c r="G27" s="91" t="str">
        <f>IF('1c_WaterHeating'!H9&gt;0,IF(AND(Calorific_Values!H9&lt;=30000,Calorific_Values!H9&gt;=5000),"TRUE","FALSE"),"TRUE")</f>
        <v>TRUE</v>
      </c>
      <c r="H27" s="91" t="str">
        <f>IF('1c_WaterHeating'!I9&gt;0,IF(AND(Calorific_Values!I9&lt;=30000,Calorific_Values!I9&gt;=5000),"TRUE","FALSE"),"TRUE")</f>
        <v>TRUE</v>
      </c>
      <c r="I27" s="91" t="str">
        <f>IF('1c_WaterHeating'!J9&gt;0,IF(AND(Calorific_Values!J9&lt;=30000,Calorific_Values!J9&gt;=5000),"TRUE","FALSE"),"TRUE")</f>
        <v>TRUE</v>
      </c>
      <c r="J27" s="91" t="str">
        <f>IF('1c_WaterHeating'!K9&gt;0,IF(AND(Calorific_Values!K9&lt;=30000,Calorific_Values!K9&gt;=5000),"TRUE","FALSE"),"TRUE")</f>
        <v>TRUE</v>
      </c>
      <c r="K27" s="91" t="str">
        <f>IF('1c_WaterHeating'!L9&gt;0,IF(AND(Calorific_Values!L9&lt;=30000,Calorific_Values!L9&gt;=5000),"TRUE","FALSE"),"TRUE")</f>
        <v>TRUE</v>
      </c>
      <c r="L27" s="91" t="str">
        <f>IF('1c_WaterHeating'!M9&gt;0,IF(AND(Calorific_Values!M9&lt;=30000,Calorific_Values!M9&gt;=5000),"TRUE","FALSE"),"TRUE")</f>
        <v>TRUE</v>
      </c>
      <c r="M27" s="91" t="str">
        <f>IF('1c_WaterHeating'!N9&gt;0,IF(AND(Calorific_Values!N9&lt;=30000,Calorific_Values!N9&gt;=5000),"TRUE","FALSE"),"TRUE")</f>
        <v>TRUE</v>
      </c>
      <c r="N27" s="91" t="str">
        <f>IF('1c_WaterHeating'!O9&gt;0,IF(AND(Calorific_Values!O9&lt;=30000,Calorific_Values!O9&gt;=5000),"TRUE","FALSE"),"TRUE")</f>
        <v>TRUE</v>
      </c>
    </row>
    <row r="28" spans="1:14" x14ac:dyDescent="0.3">
      <c r="A28" t="s">
        <v>153</v>
      </c>
      <c r="B28" t="s">
        <v>168</v>
      </c>
      <c r="C28" s="91" t="str">
        <f>IF('1c_WaterHeating'!D10&gt;0,IF(AND(Calorific_Values!D10&lt;=50000,Calorific_Values!D10&gt;=40000),"TRUE","FALSE"),"TRUE")</f>
        <v>TRUE</v>
      </c>
      <c r="D28" s="91" t="str">
        <f>IF('1c_WaterHeating'!E10&gt;0,IF(AND(Calorific_Values!E10&lt;=50000,Calorific_Values!E10&gt;=40000),"TRUE","FALSE"),"TRUE")</f>
        <v>TRUE</v>
      </c>
      <c r="E28" s="91" t="str">
        <f>IF('1c_WaterHeating'!F10&gt;0,IF(AND(Calorific_Values!F10&lt;=50000,Calorific_Values!F10&gt;=40000),"TRUE","FALSE"),"TRUE")</f>
        <v>TRUE</v>
      </c>
      <c r="F28" s="91" t="str">
        <f>IF('1c_WaterHeating'!G10&gt;0,IF(AND(Calorific_Values!G10&lt;=50000,Calorific_Values!G10&gt;=40000),"TRUE","FALSE"),"TRUE")</f>
        <v>TRUE</v>
      </c>
      <c r="G28" s="91" t="str">
        <f>IF('1c_WaterHeating'!H10&gt;0,IF(AND(Calorific_Values!H10&lt;=50000,Calorific_Values!H10&gt;=40000),"TRUE","FALSE"),"TRUE")</f>
        <v>TRUE</v>
      </c>
      <c r="H28" s="91" t="str">
        <f>IF('1c_WaterHeating'!I10&gt;0,IF(AND(Calorific_Values!I10&lt;=50000,Calorific_Values!I10&gt;=40000),"TRUE","FALSE"),"TRUE")</f>
        <v>TRUE</v>
      </c>
      <c r="I28" s="91" t="str">
        <f>IF('1c_WaterHeating'!J10&gt;0,IF(AND(Calorific_Values!J10&lt;=50000,Calorific_Values!J10&gt;=40000),"TRUE","FALSE"),"TRUE")</f>
        <v>TRUE</v>
      </c>
      <c r="J28" s="91" t="str">
        <f>IF('1c_WaterHeating'!K10&gt;0,IF(AND(Calorific_Values!K10&lt;=50000,Calorific_Values!K10&gt;=40000),"TRUE","FALSE"),"TRUE")</f>
        <v>TRUE</v>
      </c>
      <c r="K28" s="91" t="str">
        <f>IF('1c_WaterHeating'!L10&gt;0,IF(AND(Calorific_Values!L10&lt;=50000,Calorific_Values!L10&gt;=40000),"TRUE","FALSE"),"TRUE")</f>
        <v>TRUE</v>
      </c>
      <c r="L28" s="91" t="str">
        <f>IF('1c_WaterHeating'!M10&gt;0,IF(AND(Calorific_Values!M10&lt;=50000,Calorific_Values!M10&gt;=40000),"TRUE","FALSE"),"TRUE")</f>
        <v>TRUE</v>
      </c>
      <c r="M28" s="91" t="str">
        <f>IF('1c_WaterHeating'!N10&gt;0,IF(AND(Calorific_Values!N10&lt;=50000,Calorific_Values!N10&gt;=40000),"TRUE","FALSE"),"TRUE")</f>
        <v>TRUE</v>
      </c>
      <c r="N28" s="91" t="str">
        <f>IF('1c_WaterHeating'!O10&gt;0,IF(AND(Calorific_Values!O10&lt;=50000,Calorific_Values!O10&gt;=40000),"TRUE","FALSE"),"TRUE")</f>
        <v>TRUE</v>
      </c>
    </row>
    <row r="29" spans="1:14" x14ac:dyDescent="0.3">
      <c r="A29" t="s">
        <v>153</v>
      </c>
      <c r="B29" t="s">
        <v>164</v>
      </c>
      <c r="C29" s="91" t="str">
        <f>IF('1c_WaterHeating'!D11&gt;0,IF(AND(Calorific_Values!D11&lt;=50000,Calorific_Values!D11&gt;=4000),"TRUE","FALSE"),"TRUE")</f>
        <v>TRUE</v>
      </c>
      <c r="D29" s="91" t="str">
        <f>IF('1c_WaterHeating'!E11&gt;0,IF(AND(Calorific_Values!E11&lt;=50000,Calorific_Values!E11&gt;=4000),"TRUE","FALSE"),"TRUE")</f>
        <v>TRUE</v>
      </c>
      <c r="E29" s="91" t="str">
        <f>IF('1c_WaterHeating'!F11&gt;0,IF(AND(Calorific_Values!F11&lt;=50000,Calorific_Values!F11&gt;=4000),"TRUE","FALSE"),"TRUE")</f>
        <v>TRUE</v>
      </c>
      <c r="F29" s="91" t="str">
        <f>IF('1c_WaterHeating'!G11&gt;0,IF(AND(Calorific_Values!G11&lt;=50000,Calorific_Values!G11&gt;=4000),"TRUE","FALSE"),"TRUE")</f>
        <v>TRUE</v>
      </c>
      <c r="G29" s="91" t="str">
        <f>IF('1c_WaterHeating'!H11&gt;0,IF(AND(Calorific_Values!H11&lt;=50000,Calorific_Values!H11&gt;=4000),"TRUE","FALSE"),"TRUE")</f>
        <v>TRUE</v>
      </c>
      <c r="H29" s="91" t="str">
        <f>IF('1c_WaterHeating'!I11&gt;0,IF(AND(Calorific_Values!I11&lt;=50000,Calorific_Values!I11&gt;=4000),"TRUE","FALSE"),"TRUE")</f>
        <v>TRUE</v>
      </c>
      <c r="I29" s="91" t="str">
        <f>IF('1c_WaterHeating'!J11&gt;0,IF(AND(Calorific_Values!J11&lt;=50000,Calorific_Values!J11&gt;=4000),"TRUE","FALSE"),"TRUE")</f>
        <v>TRUE</v>
      </c>
      <c r="J29" s="91" t="str">
        <f>IF('1c_WaterHeating'!K11&gt;0,IF(AND(Calorific_Values!K11&lt;=50000,Calorific_Values!K11&gt;=4000),"TRUE","FALSE"),"TRUE")</f>
        <v>TRUE</v>
      </c>
      <c r="K29" s="91" t="str">
        <f>IF('1c_WaterHeating'!L11&gt;0,IF(AND(Calorific_Values!L11&lt;=50000,Calorific_Values!L11&gt;=4000),"TRUE","FALSE"),"TRUE")</f>
        <v>TRUE</v>
      </c>
      <c r="L29" s="91" t="str">
        <f>IF('1c_WaterHeating'!M11&gt;0,IF(AND(Calorific_Values!M11&lt;=50000,Calorific_Values!M11&gt;=4000),"TRUE","FALSE"),"TRUE")</f>
        <v>TRUE</v>
      </c>
      <c r="M29" s="91" t="str">
        <f>IF('1c_WaterHeating'!N11&gt;0,IF(AND(Calorific_Values!N11&lt;=50000,Calorific_Values!N11&gt;=4000),"TRUE","FALSE"),"TRUE")</f>
        <v>TRUE</v>
      </c>
      <c r="N29" s="91" t="str">
        <f>IF('1c_WaterHeating'!O11&gt;0,IF(AND(Calorific_Values!O11&lt;=50000,Calorific_Values!O11&gt;=4000),"TRUE","FALSE"),"TRUE")</f>
        <v>TRUE</v>
      </c>
    </row>
    <row r="30" spans="1:14" x14ac:dyDescent="0.3">
      <c r="A30" t="s">
        <v>153</v>
      </c>
      <c r="B30" t="s">
        <v>165</v>
      </c>
      <c r="C30" s="91" t="str">
        <f>IF('1c_WaterHeating'!D12&gt;0,IF(AND(Calorific_Values!D12&lt;=45000,Calorific_Values!D12&gt;=40000),"TRUE","FALSE"),"TRUE")</f>
        <v>TRUE</v>
      </c>
      <c r="D30" s="91" t="str">
        <f>IF('1c_WaterHeating'!E12&gt;0,IF(AND(Calorific_Values!E12&lt;=45000,Calorific_Values!E12&gt;=40000),"TRUE","FALSE"),"TRUE")</f>
        <v>TRUE</v>
      </c>
      <c r="E30" s="91" t="str">
        <f>IF('1c_WaterHeating'!F12&gt;0,IF(AND(Calorific_Values!F12&lt;=45000,Calorific_Values!F12&gt;=40000),"TRUE","FALSE"),"TRUE")</f>
        <v>TRUE</v>
      </c>
      <c r="F30" s="91" t="str">
        <f>IF('1c_WaterHeating'!G12&gt;0,IF(AND(Calorific_Values!G12&lt;=45000,Calorific_Values!G12&gt;=40000),"TRUE","FALSE"),"TRUE")</f>
        <v>TRUE</v>
      </c>
      <c r="G30" s="91" t="str">
        <f>IF('1c_WaterHeating'!H12&gt;0,IF(AND(Calorific_Values!H12&lt;=45000,Calorific_Values!H12&gt;=40000),"TRUE","FALSE"),"TRUE")</f>
        <v>TRUE</v>
      </c>
      <c r="H30" s="91" t="str">
        <f>IF('1c_WaterHeating'!I12&gt;0,IF(AND(Calorific_Values!I12&lt;=45000,Calorific_Values!I12&gt;=40000),"TRUE","FALSE"),"TRUE")</f>
        <v>TRUE</v>
      </c>
      <c r="I30" s="91" t="str">
        <f>IF('1c_WaterHeating'!J12&gt;0,IF(AND(Calorific_Values!J12&lt;=45000,Calorific_Values!J12&gt;=40000),"TRUE","FALSE"),"TRUE")</f>
        <v>TRUE</v>
      </c>
      <c r="J30" s="91" t="str">
        <f>IF('1c_WaterHeating'!K12&gt;0,IF(AND(Calorific_Values!K12&lt;=45000,Calorific_Values!K12&gt;=40000),"TRUE","FALSE"),"TRUE")</f>
        <v>TRUE</v>
      </c>
      <c r="K30" s="91" t="str">
        <f>IF('1c_WaterHeating'!L12&gt;0,IF(AND(Calorific_Values!L12&lt;=45000,Calorific_Values!L12&gt;=40000),"TRUE","FALSE"),"TRUE")</f>
        <v>TRUE</v>
      </c>
      <c r="L30" s="91" t="str">
        <f>IF('1c_WaterHeating'!M12&gt;0,IF(AND(Calorific_Values!M12&lt;=45000,Calorific_Values!M12&gt;=40000),"TRUE","FALSE"),"TRUE")</f>
        <v>TRUE</v>
      </c>
      <c r="M30" s="91" t="str">
        <f>IF('1c_WaterHeating'!N12&gt;0,IF(AND(Calorific_Values!N12&lt;=45000,Calorific_Values!N12&gt;=40000),"TRUE","FALSE"),"TRUE")</f>
        <v>TRUE</v>
      </c>
      <c r="N30" s="91" t="str">
        <f>IF('1c_WaterHeating'!O12&gt;0,IF(AND(Calorific_Values!O12&lt;=45000,Calorific_Values!O12&gt;=40000),"TRUE","FALSE"),"TRUE")</f>
        <v>TRUE</v>
      </c>
    </row>
    <row r="31" spans="1:14" x14ac:dyDescent="0.3">
      <c r="A31" t="s">
        <v>153</v>
      </c>
      <c r="B31" t="s">
        <v>166</v>
      </c>
      <c r="C31" s="91" t="str">
        <f>IF('1c_WaterHeating'!D13&gt;0,IF(AND(Calorific_Values!D13&lt;=45000,Calorific_Values!D13&gt;=40000),"TRUE","FALSE"),"TRUE")</f>
        <v>TRUE</v>
      </c>
      <c r="D31" s="91" t="str">
        <f>IF('1c_WaterHeating'!E13&gt;0,IF(AND(Calorific_Values!E13&lt;=45000,Calorific_Values!E13&gt;=40000),"TRUE","FALSE"),"TRUE")</f>
        <v>TRUE</v>
      </c>
      <c r="E31" s="91" t="str">
        <f>IF('1c_WaterHeating'!F13&gt;0,IF(AND(Calorific_Values!F13&lt;=45000,Calorific_Values!F13&gt;=40000),"TRUE","FALSE"),"TRUE")</f>
        <v>TRUE</v>
      </c>
      <c r="F31" s="91" t="str">
        <f>IF('1c_WaterHeating'!G13&gt;0,IF(AND(Calorific_Values!G13&lt;=45000,Calorific_Values!G13&gt;=40000),"TRUE","FALSE"),"TRUE")</f>
        <v>TRUE</v>
      </c>
      <c r="G31" s="91" t="str">
        <f>IF('1c_WaterHeating'!H13&gt;0,IF(AND(Calorific_Values!H13&lt;=45000,Calorific_Values!H13&gt;=40000),"TRUE","FALSE"),"TRUE")</f>
        <v>TRUE</v>
      </c>
      <c r="H31" s="91" t="str">
        <f>IF('1c_WaterHeating'!I13&gt;0,IF(AND(Calorific_Values!I13&lt;=45000,Calorific_Values!I13&gt;=40000),"TRUE","FALSE"),"TRUE")</f>
        <v>TRUE</v>
      </c>
      <c r="I31" s="91" t="str">
        <f>IF('1c_WaterHeating'!J13&gt;0,IF(AND(Calorific_Values!J13&lt;=45000,Calorific_Values!J13&gt;=40000),"TRUE","FALSE"),"TRUE")</f>
        <v>TRUE</v>
      </c>
      <c r="J31" s="91" t="str">
        <f>IF('1c_WaterHeating'!K13&gt;0,IF(AND(Calorific_Values!K13&lt;=45000,Calorific_Values!K13&gt;=40000),"TRUE","FALSE"),"TRUE")</f>
        <v>TRUE</v>
      </c>
      <c r="K31" s="91" t="str">
        <f>IF('1c_WaterHeating'!L13&gt;0,IF(AND(Calorific_Values!L13&lt;=45000,Calorific_Values!L13&gt;=40000),"TRUE","FALSE"),"TRUE")</f>
        <v>TRUE</v>
      </c>
      <c r="L31" s="91" t="str">
        <f>IF('1c_WaterHeating'!M13&gt;0,IF(AND(Calorific_Values!M13&lt;=45000,Calorific_Values!M13&gt;=40000),"TRUE","FALSE"),"TRUE")</f>
        <v>TRUE</v>
      </c>
      <c r="M31" s="91" t="str">
        <f>IF('1c_WaterHeating'!N13&gt;0,IF(AND(Calorific_Values!N13&lt;=45000,Calorific_Values!N13&gt;=40000),"TRUE","FALSE"),"TRUE")</f>
        <v>TRUE</v>
      </c>
      <c r="N31" s="91" t="str">
        <f>IF('1c_WaterHeating'!O13&gt;0,IF(AND(Calorific_Values!O13&lt;=45000,Calorific_Values!O13&gt;=40000),"TRUE","FALSE"),"TRUE")</f>
        <v>TRUE</v>
      </c>
    </row>
    <row r="32" spans="1:14" x14ac:dyDescent="0.3">
      <c r="A32" t="s">
        <v>154</v>
      </c>
      <c r="B32" t="s">
        <v>167</v>
      </c>
      <c r="C32" s="91" t="str">
        <f>IF('1d_Cooking'!D9&gt;0,IF(AND(Calorific_Values!D9&lt;=30000,Calorific_Values!D9&gt;=5000),"TRUE","FALSE"),"TRUE")</f>
        <v>TRUE</v>
      </c>
      <c r="D32" s="91" t="str">
        <f>IF('1d_Cooking'!E9&gt;0,IF(AND(Calorific_Values!E9&lt;=30000,Calorific_Values!E9&gt;=5000),"TRUE","FALSE"),"TRUE")</f>
        <v>TRUE</v>
      </c>
      <c r="E32" s="91" t="str">
        <f>IF('1d_Cooking'!F9&gt;0,IF(AND(Calorific_Values!F9&lt;=30000,Calorific_Values!F9&gt;=5000),"TRUE","FALSE"),"TRUE")</f>
        <v>TRUE</v>
      </c>
      <c r="F32" s="91" t="str">
        <f>IF('1d_Cooking'!G9&gt;0,IF(AND(Calorific_Values!G9&lt;=30000,Calorific_Values!G9&gt;=5000),"TRUE","FALSE"),"TRUE")</f>
        <v>TRUE</v>
      </c>
      <c r="G32" s="91" t="str">
        <f>IF('1d_Cooking'!H9&gt;0,IF(AND(Calorific_Values!H9&lt;=30000,Calorific_Values!H9&gt;=5000),"TRUE","FALSE"),"TRUE")</f>
        <v>TRUE</v>
      </c>
      <c r="H32" s="91" t="str">
        <f>IF('1d_Cooking'!I9&gt;0,IF(AND(Calorific_Values!I9&lt;=30000,Calorific_Values!I9&gt;=5000),"TRUE","FALSE"),"TRUE")</f>
        <v>TRUE</v>
      </c>
      <c r="I32" s="91" t="str">
        <f>IF('1d_Cooking'!J9&gt;0,IF(AND(Calorific_Values!J9&lt;=30000,Calorific_Values!J9&gt;=5000),"TRUE","FALSE"),"TRUE")</f>
        <v>TRUE</v>
      </c>
      <c r="J32" s="91" t="str">
        <f>IF('1d_Cooking'!K9&gt;0,IF(AND(Calorific_Values!K9&lt;=30000,Calorific_Values!K9&gt;=5000),"TRUE","FALSE"),"TRUE")</f>
        <v>TRUE</v>
      </c>
      <c r="K32" s="91" t="str">
        <f>IF('1d_Cooking'!L9&gt;0,IF(AND(Calorific_Values!L9&lt;=30000,Calorific_Values!L9&gt;=5000),"TRUE","FALSE"),"TRUE")</f>
        <v>TRUE</v>
      </c>
      <c r="L32" s="91" t="str">
        <f>IF('1d_Cooking'!M9&gt;0,IF(AND(Calorific_Values!M9&lt;=30000,Calorific_Values!M9&gt;=5000),"TRUE","FALSE"),"TRUE")</f>
        <v>TRUE</v>
      </c>
      <c r="M32" s="91" t="str">
        <f>IF('1d_Cooking'!N9&gt;0,IF(AND(Calorific_Values!N9&lt;=30000,Calorific_Values!N9&gt;=5000),"TRUE","FALSE"),"TRUE")</f>
        <v>TRUE</v>
      </c>
      <c r="N32" s="91" t="str">
        <f>IF('1d_Cooking'!O9&gt;0,IF(AND(Calorific_Values!O9&lt;=30000,Calorific_Values!O9&gt;=5000),"TRUE","FALSE"),"TRUE")</f>
        <v>TRUE</v>
      </c>
    </row>
    <row r="33" spans="1:14" x14ac:dyDescent="0.3">
      <c r="A33" t="s">
        <v>154</v>
      </c>
      <c r="B33" t="s">
        <v>168</v>
      </c>
      <c r="C33" s="91" t="str">
        <f>IF('1d_Cooking'!D10&gt;0,IF(AND(Calorific_Values!D10&lt;=50000,Calorific_Values!D10&gt;=40000),"TRUE","FALSE"),"TRUE")</f>
        <v>TRUE</v>
      </c>
      <c r="D33" s="91" t="str">
        <f>IF('1d_Cooking'!E10&gt;0,IF(AND(Calorific_Values!E10&lt;=50000,Calorific_Values!E10&gt;=40000),"TRUE","FALSE"),"TRUE")</f>
        <v>TRUE</v>
      </c>
      <c r="E33" s="91" t="str">
        <f>IF('1d_Cooking'!F10&gt;0,IF(AND(Calorific_Values!F10&lt;=50000,Calorific_Values!F10&gt;=40000),"TRUE","FALSE"),"TRUE")</f>
        <v>TRUE</v>
      </c>
      <c r="F33" s="91" t="str">
        <f>IF('1d_Cooking'!G10&gt;0,IF(AND(Calorific_Values!G10&lt;=50000,Calorific_Values!G10&gt;=40000),"TRUE","FALSE"),"TRUE")</f>
        <v>TRUE</v>
      </c>
      <c r="G33" s="91" t="str">
        <f>IF('1d_Cooking'!H10&gt;0,IF(AND(Calorific_Values!H10&lt;=50000,Calorific_Values!H10&gt;=40000),"TRUE","FALSE"),"TRUE")</f>
        <v>TRUE</v>
      </c>
      <c r="H33" s="91" t="str">
        <f>IF('1d_Cooking'!I10&gt;0,IF(AND(Calorific_Values!I10&lt;=50000,Calorific_Values!I10&gt;=40000),"TRUE","FALSE"),"TRUE")</f>
        <v>TRUE</v>
      </c>
      <c r="I33" s="91" t="str">
        <f>IF('1d_Cooking'!J10&gt;0,IF(AND(Calorific_Values!J10&lt;=50000,Calorific_Values!J10&gt;=40000),"TRUE","FALSE"),"TRUE")</f>
        <v>TRUE</v>
      </c>
      <c r="J33" s="91" t="str">
        <f>IF('1d_Cooking'!K10&gt;0,IF(AND(Calorific_Values!K10&lt;=50000,Calorific_Values!K10&gt;=40000),"TRUE","FALSE"),"TRUE")</f>
        <v>TRUE</v>
      </c>
      <c r="K33" s="91" t="str">
        <f>IF('1d_Cooking'!L10&gt;0,IF(AND(Calorific_Values!L10&lt;=50000,Calorific_Values!L10&gt;=40000),"TRUE","FALSE"),"TRUE")</f>
        <v>TRUE</v>
      </c>
      <c r="L33" s="91" t="str">
        <f>IF('1d_Cooking'!M10&gt;0,IF(AND(Calorific_Values!M10&lt;=50000,Calorific_Values!M10&gt;=40000),"TRUE","FALSE"),"TRUE")</f>
        <v>TRUE</v>
      </c>
      <c r="M33" s="91" t="str">
        <f>IF('1d_Cooking'!N10&gt;0,IF(AND(Calorific_Values!N10&lt;=50000,Calorific_Values!N10&gt;=40000),"TRUE","FALSE"),"TRUE")</f>
        <v>TRUE</v>
      </c>
      <c r="N33" s="91" t="str">
        <f>IF('1d_Cooking'!O10&gt;0,IF(AND(Calorific_Values!O10&lt;=50000,Calorific_Values!O10&gt;=40000),"TRUE","FALSE"),"TRUE")</f>
        <v>TRUE</v>
      </c>
    </row>
    <row r="34" spans="1:14" x14ac:dyDescent="0.3">
      <c r="A34" t="s">
        <v>154</v>
      </c>
      <c r="B34" t="s">
        <v>164</v>
      </c>
      <c r="C34" s="91" t="str">
        <f>IF('1d_Cooking'!D11&gt;0,IF(AND(Calorific_Values!D11&lt;=50000,Calorific_Values!D11&gt;=4000),"TRUE","FALSE"),"TRUE")</f>
        <v>TRUE</v>
      </c>
      <c r="D34" s="91" t="str">
        <f>IF('1d_Cooking'!E11&gt;0,IF(AND(Calorific_Values!E11&lt;=50000,Calorific_Values!E11&gt;=4000),"TRUE","FALSE"),"TRUE")</f>
        <v>TRUE</v>
      </c>
      <c r="E34" s="91" t="str">
        <f>IF('1d_Cooking'!F11&gt;0,IF(AND(Calorific_Values!F11&lt;=50000,Calorific_Values!F11&gt;=4000),"TRUE","FALSE"),"TRUE")</f>
        <v>TRUE</v>
      </c>
      <c r="F34" s="91" t="str">
        <f>IF('1d_Cooking'!G11&gt;0,IF(AND(Calorific_Values!G11&lt;=50000,Calorific_Values!G11&gt;=4000),"TRUE","FALSE"),"TRUE")</f>
        <v>TRUE</v>
      </c>
      <c r="G34" s="91" t="str">
        <f>IF('1d_Cooking'!H11&gt;0,IF(AND(Calorific_Values!H11&lt;=50000,Calorific_Values!H11&gt;=4000),"TRUE","FALSE"),"TRUE")</f>
        <v>TRUE</v>
      </c>
      <c r="H34" s="91" t="str">
        <f>IF('1d_Cooking'!I11&gt;0,IF(AND(Calorific_Values!I11&lt;=50000,Calorific_Values!I11&gt;=4000),"TRUE","FALSE"),"TRUE")</f>
        <v>TRUE</v>
      </c>
      <c r="I34" s="91" t="str">
        <f>IF('1d_Cooking'!J11&gt;0,IF(AND(Calorific_Values!J11&lt;=50000,Calorific_Values!J11&gt;=4000),"TRUE","FALSE"),"TRUE")</f>
        <v>TRUE</v>
      </c>
      <c r="J34" s="91" t="str">
        <f>IF('1d_Cooking'!K11&gt;0,IF(AND(Calorific_Values!K11&lt;=50000,Calorific_Values!K11&gt;=4000),"TRUE","FALSE"),"TRUE")</f>
        <v>TRUE</v>
      </c>
      <c r="K34" s="91" t="str">
        <f>IF('1d_Cooking'!L11&gt;0,IF(AND(Calorific_Values!L11&lt;=50000,Calorific_Values!L11&gt;=4000),"TRUE","FALSE"),"TRUE")</f>
        <v>TRUE</v>
      </c>
      <c r="L34" s="91" t="str">
        <f>IF('1d_Cooking'!M11&gt;0,IF(AND(Calorific_Values!M11&lt;=50000,Calorific_Values!M11&gt;=4000),"TRUE","FALSE"),"TRUE")</f>
        <v>TRUE</v>
      </c>
      <c r="M34" s="91" t="str">
        <f>IF('1d_Cooking'!N11&gt;0,IF(AND(Calorific_Values!N11&lt;=50000,Calorific_Values!N11&gt;=4000),"TRUE","FALSE"),"TRUE")</f>
        <v>TRUE</v>
      </c>
      <c r="N34" s="91" t="str">
        <f>IF('1d_Cooking'!O11&gt;0,IF(AND(Calorific_Values!O11&lt;=50000,Calorific_Values!O11&gt;=4000),"TRUE","FALSE"),"TRUE")</f>
        <v>TRUE</v>
      </c>
    </row>
    <row r="35" spans="1:14" x14ac:dyDescent="0.3">
      <c r="A35" t="s">
        <v>154</v>
      </c>
      <c r="B35" t="s">
        <v>165</v>
      </c>
      <c r="C35" s="91" t="str">
        <f>IF('1d_Cooking'!D12&gt;0,IF(AND(Calorific_Values!D12&lt;=45000,Calorific_Values!D12&gt;=40000),"TRUE","FALSE"),"TRUE")</f>
        <v>TRUE</v>
      </c>
      <c r="D35" s="91" t="str">
        <f>IF('1d_Cooking'!E12&gt;0,IF(AND(Calorific_Values!E12&lt;=45000,Calorific_Values!E12&gt;=40000),"TRUE","FALSE"),"TRUE")</f>
        <v>TRUE</v>
      </c>
      <c r="E35" s="91" t="str">
        <f>IF('1d_Cooking'!F12&gt;0,IF(AND(Calorific_Values!F12&lt;=45000,Calorific_Values!F12&gt;=40000),"TRUE","FALSE"),"TRUE")</f>
        <v>TRUE</v>
      </c>
      <c r="F35" s="91" t="str">
        <f>IF('1d_Cooking'!G12&gt;0,IF(AND(Calorific_Values!G12&lt;=45000,Calorific_Values!G12&gt;=40000),"TRUE","FALSE"),"TRUE")</f>
        <v>TRUE</v>
      </c>
      <c r="G35" s="91" t="str">
        <f>IF('1d_Cooking'!H12&gt;0,IF(AND(Calorific_Values!H12&lt;=45000,Calorific_Values!H12&gt;=40000),"TRUE","FALSE"),"TRUE")</f>
        <v>TRUE</v>
      </c>
      <c r="H35" s="91" t="str">
        <f>IF('1d_Cooking'!I12&gt;0,IF(AND(Calorific_Values!I12&lt;=45000,Calorific_Values!I12&gt;=40000),"TRUE","FALSE"),"TRUE")</f>
        <v>TRUE</v>
      </c>
      <c r="I35" s="91" t="str">
        <f>IF('1d_Cooking'!J12&gt;0,IF(AND(Calorific_Values!J12&lt;=45000,Calorific_Values!J12&gt;=40000),"TRUE","FALSE"),"TRUE")</f>
        <v>TRUE</v>
      </c>
      <c r="J35" s="91" t="str">
        <f>IF('1d_Cooking'!K12&gt;0,IF(AND(Calorific_Values!K12&lt;=45000,Calorific_Values!K12&gt;=40000),"TRUE","FALSE"),"TRUE")</f>
        <v>TRUE</v>
      </c>
      <c r="K35" s="91" t="str">
        <f>IF('1d_Cooking'!L12&gt;0,IF(AND(Calorific_Values!L12&lt;=45000,Calorific_Values!L12&gt;=40000),"TRUE","FALSE"),"TRUE")</f>
        <v>TRUE</v>
      </c>
      <c r="L35" s="91" t="str">
        <f>IF('1d_Cooking'!M12&gt;0,IF(AND(Calorific_Values!M12&lt;=45000,Calorific_Values!M12&gt;=40000),"TRUE","FALSE"),"TRUE")</f>
        <v>TRUE</v>
      </c>
      <c r="M35" s="91" t="str">
        <f>IF('1d_Cooking'!N12&gt;0,IF(AND(Calorific_Values!N12&lt;=45000,Calorific_Values!N12&gt;=40000),"TRUE","FALSE"),"TRUE")</f>
        <v>TRUE</v>
      </c>
      <c r="N35" s="91" t="str">
        <f>IF('1d_Cooking'!O12&gt;0,IF(AND(Calorific_Values!O12&lt;=45000,Calorific_Values!O12&gt;=40000),"TRUE","FALSE"),"TRUE")</f>
        <v>TRUE</v>
      </c>
    </row>
    <row r="36" spans="1:14" x14ac:dyDescent="0.3">
      <c r="A36" t="s">
        <v>154</v>
      </c>
      <c r="B36" t="s">
        <v>166</v>
      </c>
      <c r="C36" s="91" t="str">
        <f>IF('1d_Cooking'!D13&gt;0,IF(AND(Calorific_Values!D13&lt;=45000,Calorific_Values!D13&gt;=40000),"TRUE","FALSE"),"TRUE")</f>
        <v>TRUE</v>
      </c>
      <c r="D36" s="91" t="str">
        <f>IF('1d_Cooking'!E13&gt;0,IF(AND(Calorific_Values!E13&lt;=45000,Calorific_Values!E13&gt;=40000),"TRUE","FALSE"),"TRUE")</f>
        <v>TRUE</v>
      </c>
      <c r="E36" s="91" t="str">
        <f>IF('1d_Cooking'!F13&gt;0,IF(AND(Calorific_Values!F13&lt;=45000,Calorific_Values!F13&gt;=40000),"TRUE","FALSE"),"TRUE")</f>
        <v>TRUE</v>
      </c>
      <c r="F36" s="91" t="str">
        <f>IF('1d_Cooking'!G13&gt;0,IF(AND(Calorific_Values!G13&lt;=45000,Calorific_Values!G13&gt;=40000),"TRUE","FALSE"),"TRUE")</f>
        <v>TRUE</v>
      </c>
      <c r="G36" s="91" t="str">
        <f>IF('1d_Cooking'!H13&gt;0,IF(AND(Calorific_Values!H13&lt;=45000,Calorific_Values!H13&gt;=40000),"TRUE","FALSE"),"TRUE")</f>
        <v>TRUE</v>
      </c>
      <c r="H36" s="91" t="str">
        <f>IF('1d_Cooking'!I13&gt;0,IF(AND(Calorific_Values!I13&lt;=45000,Calorific_Values!I13&gt;=40000),"TRUE","FALSE"),"TRUE")</f>
        <v>TRUE</v>
      </c>
      <c r="I36" s="91" t="str">
        <f>IF('1d_Cooking'!J13&gt;0,IF(AND(Calorific_Values!J13&lt;=45000,Calorific_Values!J13&gt;=40000),"TRUE","FALSE"),"TRUE")</f>
        <v>TRUE</v>
      </c>
      <c r="J36" s="91" t="str">
        <f>IF('1d_Cooking'!K13&gt;0,IF(AND(Calorific_Values!K13&lt;=45000,Calorific_Values!K13&gt;=40000),"TRUE","FALSE"),"TRUE")</f>
        <v>TRUE</v>
      </c>
      <c r="K36" s="91" t="str">
        <f>IF('1d_Cooking'!L13&gt;0,IF(AND(Calorific_Values!L13&lt;=45000,Calorific_Values!L13&gt;=40000),"TRUE","FALSE"),"TRUE")</f>
        <v>TRUE</v>
      </c>
      <c r="L36" s="91" t="str">
        <f>IF('1d_Cooking'!M13&gt;0,IF(AND(Calorific_Values!M13&lt;=45000,Calorific_Values!M13&gt;=40000),"TRUE","FALSE"),"TRUE")</f>
        <v>TRUE</v>
      </c>
      <c r="M36" s="91" t="str">
        <f>IF('1d_Cooking'!N13&gt;0,IF(AND(Calorific_Values!N13&lt;=45000,Calorific_Values!N13&gt;=40000),"TRUE","FALSE"),"TRUE")</f>
        <v>TRUE</v>
      </c>
      <c r="N36" s="91" t="str">
        <f>IF('1d_Cooking'!O13&gt;0,IF(AND(Calorific_Values!O13&lt;=45000,Calorific_Values!O13&gt;=40000),"TRUE","FALSE"),"TRUE")</f>
        <v>TRUE</v>
      </c>
    </row>
    <row r="37" spans="1:14" x14ac:dyDescent="0.3">
      <c r="A37" t="s">
        <v>155</v>
      </c>
      <c r="B37" t="s">
        <v>167</v>
      </c>
      <c r="C37" s="91" t="str">
        <f>IF('1f_OtherEndUses'!D9&gt;0,IF(AND(Calorific_Values!D9&lt;=30000,Calorific_Values!D9&gt;=5000),"TRUE","FALSE"),"TRUE")</f>
        <v>TRUE</v>
      </c>
      <c r="D37" s="91" t="str">
        <f>IF('1f_OtherEndUses'!E9&gt;0,IF(AND(Calorific_Values!E9&lt;=30000,Calorific_Values!E9&gt;=5000),"TRUE","FALSE"),"TRUE")</f>
        <v>TRUE</v>
      </c>
      <c r="E37" s="91" t="str">
        <f>IF('1f_OtherEndUses'!F9&gt;0,IF(AND(Calorific_Values!F9&lt;=30000,Calorific_Values!F9&gt;=5000),"TRUE","FALSE"),"TRUE")</f>
        <v>TRUE</v>
      </c>
      <c r="F37" s="91" t="str">
        <f>IF('1f_OtherEndUses'!G9&gt;0,IF(AND(Calorific_Values!G9&lt;=30000,Calorific_Values!G9&gt;=5000),"TRUE","FALSE"),"TRUE")</f>
        <v>TRUE</v>
      </c>
      <c r="G37" s="91" t="str">
        <f>IF('1f_OtherEndUses'!H9&gt;0,IF(AND(Calorific_Values!H9&lt;=30000,Calorific_Values!H9&gt;=5000),"TRUE","FALSE"),"TRUE")</f>
        <v>TRUE</v>
      </c>
      <c r="H37" s="91" t="str">
        <f>IF('1f_OtherEndUses'!I9&gt;0,IF(AND(Calorific_Values!I9&lt;=30000,Calorific_Values!I9&gt;=5000),"TRUE","FALSE"),"TRUE")</f>
        <v>TRUE</v>
      </c>
      <c r="I37" s="91" t="str">
        <f>IF('1f_OtherEndUses'!J9&gt;0,IF(AND(Calorific_Values!J9&lt;=30000,Calorific_Values!J9&gt;=5000),"TRUE","FALSE"),"TRUE")</f>
        <v>TRUE</v>
      </c>
      <c r="J37" s="91" t="str">
        <f>IF('1f_OtherEndUses'!K9&gt;0,IF(AND(Calorific_Values!K9&lt;=30000,Calorific_Values!K9&gt;=5000),"TRUE","FALSE"),"TRUE")</f>
        <v>TRUE</v>
      </c>
      <c r="K37" s="91" t="str">
        <f>IF('1f_OtherEndUses'!L9&gt;0,IF(AND(Calorific_Values!L9&lt;=30000,Calorific_Values!L9&gt;=5000),"TRUE","FALSE"),"TRUE")</f>
        <v>TRUE</v>
      </c>
      <c r="L37" s="91" t="str">
        <f>IF('1f_OtherEndUses'!M9&gt;0,IF(AND(Calorific_Values!M9&lt;=30000,Calorific_Values!M9&gt;=5000),"TRUE","FALSE"),"TRUE")</f>
        <v>TRUE</v>
      </c>
      <c r="M37" s="91" t="str">
        <f>IF('1f_OtherEndUses'!N9&gt;0,IF(AND(Calorific_Values!N9&lt;=30000,Calorific_Values!N9&gt;=5000),"TRUE","FALSE"),"TRUE")</f>
        <v>TRUE</v>
      </c>
      <c r="N37" s="91" t="str">
        <f>IF('1f_OtherEndUses'!O9&gt;0,IF(AND(Calorific_Values!O9&lt;=30000,Calorific_Values!O9&gt;=5000),"TRUE","FALSE"),"TRUE")</f>
        <v>TRUE</v>
      </c>
    </row>
    <row r="38" spans="1:14" x14ac:dyDescent="0.3">
      <c r="A38" t="s">
        <v>155</v>
      </c>
      <c r="B38" t="s">
        <v>168</v>
      </c>
      <c r="C38" s="91" t="str">
        <f>IF('1f_OtherEndUses'!D10&gt;0,IF(AND(Calorific_Values!D10&lt;=50000,Calorific_Values!D10&gt;=40000),"TRUE","FALSE"),"TRUE")</f>
        <v>TRUE</v>
      </c>
      <c r="D38" s="91" t="str">
        <f>IF('1f_OtherEndUses'!E10&gt;0,IF(AND(Calorific_Values!E10&lt;=50000,Calorific_Values!E10&gt;=40000),"TRUE","FALSE"),"TRUE")</f>
        <v>TRUE</v>
      </c>
      <c r="E38" s="91" t="str">
        <f>IF('1f_OtherEndUses'!F10&gt;0,IF(AND(Calorific_Values!F10&lt;=50000,Calorific_Values!F10&gt;=40000),"TRUE","FALSE"),"TRUE")</f>
        <v>TRUE</v>
      </c>
      <c r="F38" s="91" t="str">
        <f>IF('1f_OtherEndUses'!G10&gt;0,IF(AND(Calorific_Values!G10&lt;=50000,Calorific_Values!G10&gt;=40000),"TRUE","FALSE"),"TRUE")</f>
        <v>TRUE</v>
      </c>
      <c r="G38" s="91" t="str">
        <f>IF('1f_OtherEndUses'!H10&gt;0,IF(AND(Calorific_Values!H10&lt;=50000,Calorific_Values!H10&gt;=40000),"TRUE","FALSE"),"TRUE")</f>
        <v>TRUE</v>
      </c>
      <c r="H38" s="91" t="str">
        <f>IF('1f_OtherEndUses'!I10&gt;0,IF(AND(Calorific_Values!I10&lt;=50000,Calorific_Values!I10&gt;=40000),"TRUE","FALSE"),"TRUE")</f>
        <v>TRUE</v>
      </c>
      <c r="I38" s="91" t="str">
        <f>IF('1f_OtherEndUses'!J10&gt;0,IF(AND(Calorific_Values!J10&lt;=50000,Calorific_Values!J10&gt;=40000),"TRUE","FALSE"),"TRUE")</f>
        <v>TRUE</v>
      </c>
      <c r="J38" s="91" t="str">
        <f>IF('1f_OtherEndUses'!K10&gt;0,IF(AND(Calorific_Values!K10&lt;=50000,Calorific_Values!K10&gt;=40000),"TRUE","FALSE"),"TRUE")</f>
        <v>TRUE</v>
      </c>
      <c r="K38" s="91" t="str">
        <f>IF('1f_OtherEndUses'!L10&gt;0,IF(AND(Calorific_Values!L10&lt;=50000,Calorific_Values!L10&gt;=40000),"TRUE","FALSE"),"TRUE")</f>
        <v>TRUE</v>
      </c>
      <c r="L38" s="91" t="str">
        <f>IF('1f_OtherEndUses'!M10&gt;0,IF(AND(Calorific_Values!M10&lt;=50000,Calorific_Values!M10&gt;=40000),"TRUE","FALSE"),"TRUE")</f>
        <v>TRUE</v>
      </c>
      <c r="M38" s="91" t="str">
        <f>IF('1f_OtherEndUses'!N10&gt;0,IF(AND(Calorific_Values!N10&lt;=50000,Calorific_Values!N10&gt;=40000),"TRUE","FALSE"),"TRUE")</f>
        <v>TRUE</v>
      </c>
      <c r="N38" s="91" t="str">
        <f>IF('1f_OtherEndUses'!O10&gt;0,IF(AND(Calorific_Values!O10&lt;=50000,Calorific_Values!O10&gt;=40000),"TRUE","FALSE"),"TRUE")</f>
        <v>TRUE</v>
      </c>
    </row>
    <row r="39" spans="1:14" x14ac:dyDescent="0.3">
      <c r="A39" t="s">
        <v>155</v>
      </c>
      <c r="B39" t="s">
        <v>164</v>
      </c>
      <c r="C39" s="91" t="str">
        <f>IF('1f_OtherEndUses'!D11&gt;0,IF(AND(Calorific_Values!D11&lt;=50000,Calorific_Values!D11&gt;=40000),"TRUE","FALSE"),"TRUE")</f>
        <v>TRUE</v>
      </c>
      <c r="D39" s="91" t="str">
        <f>IF('1f_OtherEndUses'!E11&gt;0,IF(AND(Calorific_Values!E11&lt;=50000,Calorific_Values!E11&gt;=40000),"TRUE","FALSE"),"TRUE")</f>
        <v>TRUE</v>
      </c>
      <c r="E39" s="91" t="str">
        <f>IF('1f_OtherEndUses'!F11&gt;0,IF(AND(Calorific_Values!F11&lt;=50000,Calorific_Values!F11&gt;=40000),"TRUE","FALSE"),"TRUE")</f>
        <v>TRUE</v>
      </c>
      <c r="F39" s="91" t="str">
        <f>IF('1f_OtherEndUses'!G11&gt;0,IF(AND(Calorific_Values!G11&lt;=50000,Calorific_Values!G11&gt;=40000),"TRUE","FALSE"),"TRUE")</f>
        <v>TRUE</v>
      </c>
      <c r="G39" s="91" t="str">
        <f>IF('1f_OtherEndUses'!H11&gt;0,IF(AND(Calorific_Values!H11&lt;=50000,Calorific_Values!H11&gt;=40000),"TRUE","FALSE"),"TRUE")</f>
        <v>TRUE</v>
      </c>
      <c r="H39" s="91" t="str">
        <f>IF('1f_OtherEndUses'!I11&gt;0,IF(AND(Calorific_Values!I11&lt;=50000,Calorific_Values!I11&gt;=40000),"TRUE","FALSE"),"TRUE")</f>
        <v>TRUE</v>
      </c>
      <c r="I39" s="91" t="str">
        <f>IF('1f_OtherEndUses'!J11&gt;0,IF(AND(Calorific_Values!J11&lt;=50000,Calorific_Values!J11&gt;=40000),"TRUE","FALSE"),"TRUE")</f>
        <v>TRUE</v>
      </c>
      <c r="J39" s="91" t="str">
        <f>IF('1f_OtherEndUses'!K11&gt;0,IF(AND(Calorific_Values!K11&lt;=50000,Calorific_Values!K11&gt;=40000),"TRUE","FALSE"),"TRUE")</f>
        <v>TRUE</v>
      </c>
      <c r="K39" s="91" t="str">
        <f>IF('1f_OtherEndUses'!L11&gt;0,IF(AND(Calorific_Values!L11&lt;=50000,Calorific_Values!L11&gt;=40000),"TRUE","FALSE"),"TRUE")</f>
        <v>TRUE</v>
      </c>
      <c r="L39" s="91" t="str">
        <f>IF('1f_OtherEndUses'!M11&gt;0,IF(AND(Calorific_Values!M11&lt;=50000,Calorific_Values!M11&gt;=40000),"TRUE","FALSE"),"TRUE")</f>
        <v>TRUE</v>
      </c>
      <c r="M39" s="91" t="str">
        <f>IF('1f_OtherEndUses'!N11&gt;0,IF(AND(Calorific_Values!N11&lt;=50000,Calorific_Values!N11&gt;=40000),"TRUE","FALSE"),"TRUE")</f>
        <v>TRUE</v>
      </c>
      <c r="N39" s="91" t="str">
        <f>IF('1f_OtherEndUses'!O11&gt;0,IF(AND(Calorific_Values!O11&lt;=50000,Calorific_Values!O11&gt;=40000),"TRUE","FALSE"),"TRUE")</f>
        <v>TRUE</v>
      </c>
    </row>
    <row r="40" spans="1:14" x14ac:dyDescent="0.3">
      <c r="A40" t="s">
        <v>155</v>
      </c>
      <c r="B40" t="s">
        <v>165</v>
      </c>
      <c r="C40" s="91" t="str">
        <f>IF('1f_OtherEndUses'!D12&gt;0,IF(AND(Calorific_Values!D12&lt;=45000,Calorific_Values!D12&gt;=40000),"TRUE","FALSE"),"TRUE")</f>
        <v>TRUE</v>
      </c>
      <c r="D40" s="91" t="str">
        <f>IF('1f_OtherEndUses'!E12&gt;0,IF(AND(Calorific_Values!E12&lt;=45000,Calorific_Values!E12&gt;=40000),"TRUE","FALSE"),"TRUE")</f>
        <v>TRUE</v>
      </c>
      <c r="E40" s="91" t="str">
        <f>IF('1f_OtherEndUses'!F12&gt;0,IF(AND(Calorific_Values!F12&lt;=45000,Calorific_Values!F12&gt;=40000),"TRUE","FALSE"),"TRUE")</f>
        <v>TRUE</v>
      </c>
      <c r="F40" s="91" t="str">
        <f>IF('1f_OtherEndUses'!G12&gt;0,IF(AND(Calorific_Values!G12&lt;=45000,Calorific_Values!G12&gt;=40000),"TRUE","FALSE"),"TRUE")</f>
        <v>TRUE</v>
      </c>
      <c r="G40" s="91" t="str">
        <f>IF('1f_OtherEndUses'!H12&gt;0,IF(AND(Calorific_Values!H12&lt;=45000,Calorific_Values!H12&gt;=40000),"TRUE","FALSE"),"TRUE")</f>
        <v>TRUE</v>
      </c>
      <c r="H40" s="91" t="str">
        <f>IF('1f_OtherEndUses'!I12&gt;0,IF(AND(Calorific_Values!I12&lt;=45000,Calorific_Values!I12&gt;=40000),"TRUE","FALSE"),"TRUE")</f>
        <v>TRUE</v>
      </c>
      <c r="I40" s="91" t="str">
        <f>IF('1f_OtherEndUses'!J12&gt;0,IF(AND(Calorific_Values!J12&lt;=45000,Calorific_Values!J12&gt;=40000),"TRUE","FALSE"),"TRUE")</f>
        <v>TRUE</v>
      </c>
      <c r="J40" s="91" t="str">
        <f>IF('1f_OtherEndUses'!K12&gt;0,IF(AND(Calorific_Values!K12&lt;=45000,Calorific_Values!K12&gt;=40000),"TRUE","FALSE"),"TRUE")</f>
        <v>TRUE</v>
      </c>
      <c r="K40" s="91" t="str">
        <f>IF('1f_OtherEndUses'!L12&gt;0,IF(AND(Calorific_Values!L12&lt;=45000,Calorific_Values!L12&gt;=40000),"TRUE","FALSE"),"TRUE")</f>
        <v>TRUE</v>
      </c>
      <c r="L40" s="91" t="str">
        <f>IF('1f_OtherEndUses'!M12&gt;0,IF(AND(Calorific_Values!M12&lt;=45000,Calorific_Values!M12&gt;=40000),"TRUE","FALSE"),"TRUE")</f>
        <v>TRUE</v>
      </c>
      <c r="M40" s="91" t="str">
        <f>IF('1f_OtherEndUses'!N12&gt;0,IF(AND(Calorific_Values!N12&lt;=45000,Calorific_Values!N12&gt;=40000),"TRUE","FALSE"),"TRUE")</f>
        <v>TRUE</v>
      </c>
      <c r="N40" s="91" t="str">
        <f>IF('1f_OtherEndUses'!O12&gt;0,IF(AND(Calorific_Values!O12&lt;=45000,Calorific_Values!O12&gt;=40000),"TRUE","FALSE"),"TRUE")</f>
        <v>TRUE</v>
      </c>
    </row>
    <row r="41" spans="1:14" x14ac:dyDescent="0.3">
      <c r="A41" t="s">
        <v>155</v>
      </c>
      <c r="B41" t="s">
        <v>166</v>
      </c>
      <c r="C41" s="91" t="str">
        <f>IF('1f_OtherEndUses'!D13&gt;0,IF(AND(Calorific_Values!D13&lt;=45000,Calorific_Values!D13&gt;=40000),"TRUE","FALSE"),"TRUE")</f>
        <v>TRUE</v>
      </c>
      <c r="D41" s="91" t="str">
        <f>IF('1f_OtherEndUses'!E13&gt;0,IF(AND(Calorific_Values!E13&lt;=45000,Calorific_Values!E13&gt;=40000),"TRUE","FALSE"),"TRUE")</f>
        <v>TRUE</v>
      </c>
      <c r="E41" s="91" t="str">
        <f>IF('1f_OtherEndUses'!F13&gt;0,IF(AND(Calorific_Values!F13&lt;=45000,Calorific_Values!F13&gt;=40000),"TRUE","FALSE"),"TRUE")</f>
        <v>TRUE</v>
      </c>
      <c r="F41" s="91" t="str">
        <f>IF('1f_OtherEndUses'!G13&gt;0,IF(AND(Calorific_Values!G13&lt;=45000,Calorific_Values!G13&gt;=40000),"TRUE","FALSE"),"TRUE")</f>
        <v>TRUE</v>
      </c>
      <c r="G41" s="91" t="str">
        <f>IF('1f_OtherEndUses'!H13&gt;0,IF(AND(Calorific_Values!H13&lt;=45000,Calorific_Values!H13&gt;=40000),"TRUE","FALSE"),"TRUE")</f>
        <v>TRUE</v>
      </c>
      <c r="H41" s="91" t="str">
        <f>IF('1f_OtherEndUses'!I13&gt;0,IF(AND(Calorific_Values!I13&lt;=45000,Calorific_Values!I13&gt;=40000),"TRUE","FALSE"),"TRUE")</f>
        <v>TRUE</v>
      </c>
      <c r="I41" s="91" t="str">
        <f>IF('1f_OtherEndUses'!J13&gt;0,IF(AND(Calorific_Values!J13&lt;=45000,Calorific_Values!J13&gt;=40000),"TRUE","FALSE"),"TRUE")</f>
        <v>TRUE</v>
      </c>
      <c r="J41" s="91" t="str">
        <f>IF('1f_OtherEndUses'!K13&gt;0,IF(AND(Calorific_Values!K13&lt;=45000,Calorific_Values!K13&gt;=40000),"TRUE","FALSE"),"TRUE")</f>
        <v>TRUE</v>
      </c>
      <c r="K41" s="91" t="str">
        <f>IF('1f_OtherEndUses'!L13&gt;0,IF(AND(Calorific_Values!L13&lt;=45000,Calorific_Values!L13&gt;=40000),"TRUE","FALSE"),"TRUE")</f>
        <v>TRUE</v>
      </c>
      <c r="L41" s="91" t="str">
        <f>IF('1f_OtherEndUses'!M13&gt;0,IF(AND(Calorific_Values!M13&lt;=45000,Calorific_Values!M13&gt;=40000),"TRUE","FALSE"),"TRUE")</f>
        <v>TRUE</v>
      </c>
      <c r="M41" s="91" t="str">
        <f>IF('1f_OtherEndUses'!N13&gt;0,IF(AND(Calorific_Values!N13&lt;=45000,Calorific_Values!N13&gt;=40000),"TRUE","FALSE"),"TRUE")</f>
        <v>TRUE</v>
      </c>
      <c r="N41" s="91" t="str">
        <f>IF('1f_OtherEndUses'!O13&gt;0,IF(AND(Calorific_Values!O13&lt;=45000,Calorific_Values!O13&gt;=40000),"TRUE","FALSE"),"TRUE")</f>
        <v>TRUE</v>
      </c>
    </row>
    <row r="42" spans="1:14" x14ac:dyDescent="0.3">
      <c r="A42" t="s">
        <v>158</v>
      </c>
      <c r="B42" t="s">
        <v>173</v>
      </c>
      <c r="C42" s="91" t="str">
        <f>IF(Calorific_Values!D9&lt;&gt;0,IF(AND(5000&lt;=Calorific_Values!D9,Calorific_Values!D9&lt;=30000),"TRUE","FALSE"),"")</f>
        <v/>
      </c>
      <c r="D42" s="91" t="str">
        <f>IF(Calorific_Values!E9&lt;&gt;0,IF(AND(5000&lt;=Calorific_Values!E9,Calorific_Values!E9&lt;=30000),"TRUE","FALSE"),"")</f>
        <v/>
      </c>
      <c r="E42" s="91" t="str">
        <f>IF(Calorific_Values!F9&lt;&gt;0,IF(AND(5000&lt;=Calorific_Values!F9,Calorific_Values!F9&lt;=30000),"TRUE","FALSE"),"")</f>
        <v/>
      </c>
      <c r="F42" s="91" t="str">
        <f>IF(Calorific_Values!G9&lt;&gt;0,IF(AND(5000&lt;=Calorific_Values!G9,Calorific_Values!G9&lt;=30000),"TRUE","FALSE"),"")</f>
        <v/>
      </c>
      <c r="G42" s="91" t="str">
        <f>IF(Calorific_Values!H9&lt;&gt;0,IF(AND(5000&lt;=Calorific_Values!H9,Calorific_Values!H9&lt;=30000),"TRUE","FALSE"),"")</f>
        <v/>
      </c>
      <c r="H42" s="91" t="str">
        <f>IF(Calorific_Values!I9&lt;&gt;0,IF(AND(5000&lt;=Calorific_Values!I9,Calorific_Values!I9&lt;=30000),"TRUE","FALSE"),"")</f>
        <v/>
      </c>
      <c r="I42" s="91" t="str">
        <f>IF(Calorific_Values!J9&lt;&gt;0,IF(AND(5000&lt;=Calorific_Values!J9,Calorific_Values!J9&lt;=30000),"TRUE","FALSE"),"")</f>
        <v/>
      </c>
      <c r="J42" s="91" t="str">
        <f>IF(Calorific_Values!K9&lt;&gt;0,IF(AND(5000&lt;=Calorific_Values!K9,Calorific_Values!K9&lt;=30000),"TRUE","FALSE"),"")</f>
        <v/>
      </c>
      <c r="K42" s="91" t="str">
        <f>IF(Calorific_Values!L9&lt;&gt;0,IF(AND(5000&lt;=Calorific_Values!L9,Calorific_Values!L9&lt;=30000),"TRUE","FALSE"),"")</f>
        <v>TRUE</v>
      </c>
      <c r="L42" s="91" t="str">
        <f>IF(Calorific_Values!M9&lt;&gt;0,IF(AND(5000&lt;=Calorific_Values!M9,Calorific_Values!M9&lt;=30000),"TRUE","FALSE"),"")</f>
        <v/>
      </c>
      <c r="M42" s="91" t="str">
        <f>IF(Calorific_Values!N9&lt;&gt;0,IF(AND(5000&lt;=Calorific_Values!N9,Calorific_Values!N9&lt;=30000),"TRUE","FALSE"),"")</f>
        <v/>
      </c>
      <c r="N42" s="91" t="str">
        <f>IF(Calorific_Values!O9&lt;&gt;0,IF(AND(5000&lt;=Calorific_Values!O9,Calorific_Values!O9&lt;=30000),"TRUE","FALSE"),"")</f>
        <v/>
      </c>
    </row>
    <row r="43" spans="1:14" x14ac:dyDescent="0.3">
      <c r="A43" t="s">
        <v>158</v>
      </c>
      <c r="B43" t="s">
        <v>174</v>
      </c>
      <c r="C43" s="91" t="str">
        <f>IF(Calorific_Values!D10&lt;&gt;0,IF(AND(40000&lt;=Calorific_Values!D10,Calorific_Values!D10&lt;=50000),"TRUE","FALSE"),"")</f>
        <v/>
      </c>
      <c r="D43" s="91" t="str">
        <f>IF(Calorific_Values!E10&lt;&gt;0,IF(AND(40000&lt;=Calorific_Values!E10,Calorific_Values!E10&lt;=50000),"TRUE","FALSE"),"")</f>
        <v/>
      </c>
      <c r="E43" s="91" t="str">
        <f>IF(Calorific_Values!F10&lt;&gt;0,IF(AND(40000&lt;=Calorific_Values!F10,Calorific_Values!F10&lt;=50000),"TRUE","FALSE"),"")</f>
        <v/>
      </c>
      <c r="F43" s="91" t="str">
        <f>IF(Calorific_Values!G10&lt;&gt;0,IF(AND(40000&lt;=Calorific_Values!G10,Calorific_Values!G10&lt;=50000),"TRUE","FALSE"),"")</f>
        <v/>
      </c>
      <c r="G43" s="91" t="str">
        <f>IF(Calorific_Values!H10&lt;&gt;0,IF(AND(40000&lt;=Calorific_Values!H10,Calorific_Values!H10&lt;=50000),"TRUE","FALSE"),"")</f>
        <v/>
      </c>
      <c r="H43" s="91" t="str">
        <f>IF(Calorific_Values!I10&lt;&gt;0,IF(AND(40000&lt;=Calorific_Values!I10,Calorific_Values!I10&lt;=50000),"TRUE","FALSE"),"")</f>
        <v/>
      </c>
      <c r="I43" s="91" t="str">
        <f>IF(Calorific_Values!J10&lt;&gt;0,IF(AND(40000&lt;=Calorific_Values!J10,Calorific_Values!J10&lt;=50000),"TRUE","FALSE"),"")</f>
        <v/>
      </c>
      <c r="J43" s="91" t="str">
        <f>IF(Calorific_Values!K10&lt;&gt;0,IF(AND(40000&lt;=Calorific_Values!K10,Calorific_Values!K10&lt;=50000),"TRUE","FALSE"),"")</f>
        <v/>
      </c>
      <c r="K43" s="91" t="str">
        <f>IF(Calorific_Values!L10&lt;&gt;0,IF(AND(40000&lt;=Calorific_Values!L10,Calorific_Values!L10&lt;=50000),"TRUE","FALSE"),"")</f>
        <v>TRUE</v>
      </c>
      <c r="L43" s="91" t="str">
        <f>IF(Calorific_Values!M10&lt;&gt;0,IF(AND(40000&lt;=Calorific_Values!M10,Calorific_Values!M10&lt;=50000),"TRUE","FALSE"),"")</f>
        <v/>
      </c>
      <c r="M43" s="91" t="str">
        <f>IF(Calorific_Values!N10&lt;&gt;0,IF(AND(40000&lt;=Calorific_Values!N10,Calorific_Values!N10&lt;=50000),"TRUE","FALSE"),"")</f>
        <v/>
      </c>
      <c r="N43" s="91" t="str">
        <f>IF(Calorific_Values!O10&lt;&gt;0,IF(AND(40000&lt;=Calorific_Values!O10,Calorific_Values!O10&lt;=50000),"TRUE","FALSE"),"")</f>
        <v/>
      </c>
    </row>
    <row r="44" spans="1:14" x14ac:dyDescent="0.3">
      <c r="A44" t="s">
        <v>158</v>
      </c>
      <c r="B44" t="s">
        <v>175</v>
      </c>
      <c r="C44" s="91" t="str">
        <f>IF(Calorific_Values!D11&lt;&gt;0,IF(AND(40000&lt;=Calorific_Values!D11,Calorific_Values!D11&lt;=50000),"TRUE","FALSE"),"")</f>
        <v/>
      </c>
      <c r="D44" s="91" t="str">
        <f>IF(Calorific_Values!E11&lt;&gt;0,IF(AND(40000&lt;=Calorific_Values!E11,Calorific_Values!E11&lt;=50000),"TRUE","FALSE"),"")</f>
        <v/>
      </c>
      <c r="E44" s="91" t="str">
        <f>IF(Calorific_Values!F11&lt;&gt;0,IF(AND(40000&lt;=Calorific_Values!F11,Calorific_Values!F11&lt;=50000),"TRUE","FALSE"),"")</f>
        <v/>
      </c>
      <c r="F44" s="91" t="str">
        <f>IF(Calorific_Values!G11&lt;&gt;0,IF(AND(40000&lt;=Calorific_Values!G11,Calorific_Values!G11&lt;=50000),"TRUE","FALSE"),"")</f>
        <v/>
      </c>
      <c r="G44" s="91" t="str">
        <f>IF(Calorific_Values!H11&lt;&gt;0,IF(AND(40000&lt;=Calorific_Values!H11,Calorific_Values!H11&lt;=50000),"TRUE","FALSE"),"")</f>
        <v/>
      </c>
      <c r="H44" s="91" t="str">
        <f>IF(Calorific_Values!I11&lt;&gt;0,IF(AND(40000&lt;=Calorific_Values!I11,Calorific_Values!I11&lt;=50000),"TRUE","FALSE"),"")</f>
        <v/>
      </c>
      <c r="I44" s="91" t="str">
        <f>IF(Calorific_Values!J11&lt;&gt;0,IF(AND(40000&lt;=Calorific_Values!J11,Calorific_Values!J11&lt;=50000),"TRUE","FALSE"),"")</f>
        <v/>
      </c>
      <c r="J44" s="91" t="str">
        <f>IF(Calorific_Values!K11&lt;&gt;0,IF(AND(40000&lt;=Calorific_Values!K11,Calorific_Values!K11&lt;=50000),"TRUE","FALSE"),"")</f>
        <v/>
      </c>
      <c r="K44" s="91" t="str">
        <f>IF(Calorific_Values!L11&lt;&gt;0,IF(AND(40000&lt;=Calorific_Values!L11,Calorific_Values!L11&lt;=50000),"TRUE","FALSE"),"")</f>
        <v>TRUE</v>
      </c>
      <c r="L44" s="91" t="str">
        <f>IF(Calorific_Values!M11&lt;&gt;0,IF(AND(40000&lt;=Calorific_Values!M11,Calorific_Values!M11&lt;=50000),"TRUE","FALSE"),"")</f>
        <v/>
      </c>
      <c r="M44" s="91" t="str">
        <f>IF(Calorific_Values!N11&lt;&gt;0,IF(AND(40000&lt;=Calorific_Values!N11,Calorific_Values!N11&lt;=50000),"TRUE","FALSE"),"")</f>
        <v/>
      </c>
      <c r="N44" s="91" t="str">
        <f>IF(Calorific_Values!O11&lt;&gt;0,IF(AND(40000&lt;=Calorific_Values!O11,Calorific_Values!O11&lt;=50000),"TRUE","FALSE"),"")</f>
        <v/>
      </c>
    </row>
    <row r="45" spans="1:14" x14ac:dyDescent="0.3">
      <c r="A45" t="s">
        <v>158</v>
      </c>
      <c r="B45" t="s">
        <v>176</v>
      </c>
      <c r="C45" s="91" t="str">
        <f>IF(Calorific_Values!D12&lt;&gt;0,IF(AND(40000&lt;=Calorific_Values!D12,Calorific_Values!D12&lt;=45000),"TRUE","FALSE"),"")</f>
        <v/>
      </c>
      <c r="D45" s="91" t="str">
        <f>IF(Calorific_Values!E12&lt;&gt;0,IF(AND(40000&lt;=Calorific_Values!E12,Calorific_Values!E12&lt;=45000),"TRUE","FALSE"),"")</f>
        <v/>
      </c>
      <c r="E45" s="91" t="str">
        <f>IF(Calorific_Values!F12&lt;&gt;0,IF(AND(40000&lt;=Calorific_Values!F12,Calorific_Values!F12&lt;=45000),"TRUE","FALSE"),"")</f>
        <v/>
      </c>
      <c r="F45" s="91" t="str">
        <f>IF(Calorific_Values!G12&lt;&gt;0,IF(AND(40000&lt;=Calorific_Values!G12,Calorific_Values!G12&lt;=45000),"TRUE","FALSE"),"")</f>
        <v/>
      </c>
      <c r="G45" s="91" t="str">
        <f>IF(Calorific_Values!H12&lt;&gt;0,IF(AND(40000&lt;=Calorific_Values!H12,Calorific_Values!H12&lt;=45000),"TRUE","FALSE"),"")</f>
        <v/>
      </c>
      <c r="H45" s="91" t="str">
        <f>IF(Calorific_Values!I12&lt;&gt;0,IF(AND(40000&lt;=Calorific_Values!I12,Calorific_Values!I12&lt;=45000),"TRUE","FALSE"),"")</f>
        <v/>
      </c>
      <c r="I45" s="91" t="str">
        <f>IF(Calorific_Values!J12&lt;&gt;0,IF(AND(40000&lt;=Calorific_Values!J12,Calorific_Values!J12&lt;=45000),"TRUE","FALSE"),"")</f>
        <v/>
      </c>
      <c r="J45" s="91" t="str">
        <f>IF(Calorific_Values!K12&lt;&gt;0,IF(AND(40000&lt;=Calorific_Values!K12,Calorific_Values!K12&lt;=45000),"TRUE","FALSE"),"")</f>
        <v/>
      </c>
      <c r="K45" s="91" t="str">
        <f>IF(Calorific_Values!L12&lt;&gt;0,IF(AND(40000&lt;=Calorific_Values!L12,Calorific_Values!L12&lt;=45000),"TRUE","FALSE"),"")</f>
        <v>TRUE</v>
      </c>
      <c r="L45" s="91" t="str">
        <f>IF(Calorific_Values!M12&lt;&gt;0,IF(AND(40000&lt;=Calorific_Values!M12,Calorific_Values!M12&lt;=45000),"TRUE","FALSE"),"")</f>
        <v/>
      </c>
      <c r="M45" s="91" t="str">
        <f>IF(Calorific_Values!N12&lt;&gt;0,IF(AND(40000&lt;=Calorific_Values!N12,Calorific_Values!N12&lt;=45000),"TRUE","FALSE"),"")</f>
        <v/>
      </c>
      <c r="N45" s="91" t="str">
        <f>IF(Calorific_Values!O12&lt;&gt;0,IF(AND(40000&lt;=Calorific_Values!O12,Calorific_Values!O12&lt;=45000),"TRUE","FALSE"),"")</f>
        <v/>
      </c>
    </row>
    <row r="46" spans="1:14" x14ac:dyDescent="0.3">
      <c r="A46" t="s">
        <v>158</v>
      </c>
      <c r="B46" t="s">
        <v>177</v>
      </c>
      <c r="C46" s="91" t="str">
        <f>IF(Calorific_Values!D13&lt;&gt;0,IF(AND(40000&lt;=Calorific_Values!D13,Calorific_Values!D13&lt;=45000),"TRUE","FALSE"),"")</f>
        <v/>
      </c>
      <c r="D46" s="91" t="str">
        <f>IF(Calorific_Values!E13&lt;&gt;0,IF(AND(40000&lt;=Calorific_Values!E13,Calorific_Values!E13&lt;=45000),"TRUE","FALSE"),"")</f>
        <v/>
      </c>
      <c r="E46" s="91" t="str">
        <f>IF(Calorific_Values!F13&lt;&gt;0,IF(AND(40000&lt;=Calorific_Values!F13,Calorific_Values!F13&lt;=45000),"TRUE","FALSE"),"")</f>
        <v/>
      </c>
      <c r="F46" s="91" t="str">
        <f>IF(Calorific_Values!G13&lt;&gt;0,IF(AND(40000&lt;=Calorific_Values!G13,Calorific_Values!G13&lt;=45000),"TRUE","FALSE"),"")</f>
        <v/>
      </c>
      <c r="G46" s="91" t="str">
        <f>IF(Calorific_Values!H13&lt;&gt;0,IF(AND(40000&lt;=Calorific_Values!H13,Calorific_Values!H13&lt;=45000),"TRUE","FALSE"),"")</f>
        <v/>
      </c>
      <c r="H46" s="91" t="str">
        <f>IF(Calorific_Values!I13&lt;&gt;0,IF(AND(40000&lt;=Calorific_Values!I13,Calorific_Values!I13&lt;=45000),"TRUE","FALSE"),"")</f>
        <v/>
      </c>
      <c r="I46" s="91" t="str">
        <f>IF(Calorific_Values!J13&lt;&gt;0,IF(AND(40000&lt;=Calorific_Values!J13,Calorific_Values!J13&lt;=45000),"TRUE","FALSE"),"")</f>
        <v/>
      </c>
      <c r="J46" s="91" t="str">
        <f>IF(Calorific_Values!K13&lt;&gt;0,IF(AND(40000&lt;=Calorific_Values!K13,Calorific_Values!K13&lt;=45000),"TRUE","FALSE"),"")</f>
        <v/>
      </c>
      <c r="K46" s="91" t="str">
        <f>IF(Calorific_Values!L13&lt;&gt;0,IF(AND(40000&lt;=Calorific_Values!L13,Calorific_Values!L13&lt;=45000),"TRUE","FALSE"),"")</f>
        <v>TRUE</v>
      </c>
      <c r="L46" s="91" t="str">
        <f>IF(Calorific_Values!M13&lt;&gt;0,IF(AND(40000&lt;=Calorific_Values!M13,Calorific_Values!M13&lt;=45000),"TRUE","FALSE"),"")</f>
        <v/>
      </c>
      <c r="M46" s="91" t="str">
        <f>IF(Calorific_Values!N13&lt;&gt;0,IF(AND(40000&lt;=Calorific_Values!N13,Calorific_Values!N13&lt;=45000),"TRUE","FALSE"),"")</f>
        <v/>
      </c>
      <c r="N46" s="91"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22860</xdr:rowOff>
                  </from>
                  <to>
                    <xdr:col>4</xdr:col>
                    <xdr:colOff>175260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09375" defaultRowHeight="13.2" x14ac:dyDescent="0.25"/>
  <cols>
    <col min="1" max="1" width="27.109375" style="128" customWidth="1"/>
    <col min="2" max="2" width="27.88671875" style="128" customWidth="1"/>
    <col min="3" max="3" width="9.109375" style="128" customWidth="1"/>
    <col min="4" max="52" width="9.109375" style="128"/>
    <col min="53" max="156" width="9.109375" style="128" customWidth="1"/>
    <col min="157" max="16384" width="9.109375" style="128"/>
  </cols>
  <sheetData>
    <row r="1" spans="1:2" x14ac:dyDescent="0.25">
      <c r="A1" s="127" t="s">
        <v>187</v>
      </c>
      <c r="B1" s="127" t="s">
        <v>188</v>
      </c>
    </row>
    <row r="2" spans="1:2" x14ac:dyDescent="0.25">
      <c r="A2" s="129" t="s">
        <v>158</v>
      </c>
      <c r="B2" s="129" t="s">
        <v>189</v>
      </c>
    </row>
    <row r="3" spans="1:2" x14ac:dyDescent="0.25">
      <c r="A3" s="129" t="s">
        <v>152</v>
      </c>
      <c r="B3" s="129" t="s">
        <v>189</v>
      </c>
    </row>
    <row r="4" spans="1:2" x14ac:dyDescent="0.25">
      <c r="A4" s="129" t="s">
        <v>169</v>
      </c>
      <c r="B4" s="129" t="s">
        <v>189</v>
      </c>
    </row>
    <row r="5" spans="1:2" x14ac:dyDescent="0.25">
      <c r="A5" s="129" t="s">
        <v>153</v>
      </c>
      <c r="B5" s="129" t="s">
        <v>189</v>
      </c>
    </row>
    <row r="6" spans="1:2" x14ac:dyDescent="0.25">
      <c r="A6" s="129" t="s">
        <v>154</v>
      </c>
      <c r="B6" s="129" t="s">
        <v>189</v>
      </c>
    </row>
    <row r="7" spans="1:2" x14ac:dyDescent="0.25">
      <c r="A7" s="129" t="s">
        <v>228</v>
      </c>
      <c r="B7" s="129" t="s">
        <v>189</v>
      </c>
    </row>
    <row r="8" spans="1:2" x14ac:dyDescent="0.25">
      <c r="A8" s="129" t="s">
        <v>155</v>
      </c>
      <c r="B8" s="129"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3.2" x14ac:dyDescent="0.25"/>
  <cols>
    <col min="1" max="1" width="22" style="128" customWidth="1"/>
    <col min="2" max="3" width="9" style="128" customWidth="1"/>
    <col min="4" max="5" width="9" style="128"/>
    <col min="6" max="6" width="25.33203125" style="128" customWidth="1"/>
    <col min="7" max="52" width="9" style="128"/>
    <col min="53" max="156" width="9" style="128" customWidth="1"/>
    <col min="157" max="16384" width="9" style="128"/>
  </cols>
  <sheetData>
    <row r="1" spans="1:7" ht="14.4" x14ac:dyDescent="0.3">
      <c r="A1" s="130" t="s">
        <v>190</v>
      </c>
      <c r="B1" s="130" t="s">
        <v>191</v>
      </c>
      <c r="C1" s="130" t="s">
        <v>192</v>
      </c>
      <c r="D1" s="130" t="s">
        <v>193</v>
      </c>
      <c r="E1" s="131"/>
      <c r="F1" s="130" t="s">
        <v>194</v>
      </c>
      <c r="G1" s="136" t="s">
        <v>233</v>
      </c>
    </row>
    <row r="2" spans="1:7" ht="14.4" x14ac:dyDescent="0.3">
      <c r="A2" s="131" t="s">
        <v>195</v>
      </c>
      <c r="B2" s="131" t="s">
        <v>196</v>
      </c>
      <c r="C2" s="131" t="s">
        <v>197</v>
      </c>
      <c r="D2" s="137" t="s">
        <v>278</v>
      </c>
      <c r="E2" s="131"/>
      <c r="F2" s="130" t="s">
        <v>198</v>
      </c>
      <c r="G2" s="136" t="s">
        <v>234</v>
      </c>
    </row>
    <row r="3" spans="1:7" ht="14.4" x14ac:dyDescent="0.3">
      <c r="A3" s="131" t="s">
        <v>199</v>
      </c>
      <c r="B3" s="131" t="s">
        <v>196</v>
      </c>
      <c r="C3" s="131" t="s">
        <v>197</v>
      </c>
      <c r="D3" s="131" t="s">
        <v>200</v>
      </c>
      <c r="E3" s="131"/>
      <c r="F3" s="130" t="s">
        <v>201</v>
      </c>
      <c r="G3" s="132" t="s">
        <v>202</v>
      </c>
    </row>
    <row r="4" spans="1:7" ht="14.4" x14ac:dyDescent="0.3">
      <c r="A4" s="131" t="s">
        <v>203</v>
      </c>
      <c r="B4" s="131" t="s">
        <v>196</v>
      </c>
      <c r="C4" s="137" t="s">
        <v>235</v>
      </c>
      <c r="D4" s="137" t="s">
        <v>236</v>
      </c>
      <c r="E4" s="131"/>
      <c r="F4" s="130"/>
      <c r="G4" s="133"/>
    </row>
    <row r="5" spans="1:7" ht="14.4" x14ac:dyDescent="0.3">
      <c r="A5" s="131" t="s">
        <v>205</v>
      </c>
      <c r="B5" s="131" t="s">
        <v>196</v>
      </c>
      <c r="C5" s="131" t="s">
        <v>204</v>
      </c>
      <c r="D5" s="131" t="s">
        <v>206</v>
      </c>
      <c r="E5" s="131"/>
      <c r="F5" s="127"/>
      <c r="G5" s="134"/>
    </row>
    <row r="6" spans="1:7" ht="14.4" x14ac:dyDescent="0.3">
      <c r="A6" s="131" t="s">
        <v>207</v>
      </c>
      <c r="B6" s="131" t="s">
        <v>196</v>
      </c>
      <c r="C6" s="137" t="s">
        <v>197</v>
      </c>
      <c r="D6" s="137" t="s">
        <v>297</v>
      </c>
      <c r="E6" s="131"/>
      <c r="F6" s="130"/>
      <c r="G6" s="133"/>
    </row>
    <row r="7" spans="1:7" ht="14.4" x14ac:dyDescent="0.3">
      <c r="A7" s="131" t="s">
        <v>208</v>
      </c>
      <c r="B7" s="131" t="s">
        <v>196</v>
      </c>
      <c r="C7" s="137" t="s">
        <v>235</v>
      </c>
      <c r="D7" s="137" t="s">
        <v>299</v>
      </c>
      <c r="E7" s="131"/>
      <c r="F7" s="130"/>
      <c r="G7" s="133"/>
    </row>
    <row r="8" spans="1:7" ht="14.4" x14ac:dyDescent="0.3">
      <c r="A8" s="131" t="s">
        <v>209</v>
      </c>
      <c r="B8" s="131" t="s">
        <v>196</v>
      </c>
      <c r="C8" s="137" t="s">
        <v>197</v>
      </c>
      <c r="D8" s="137" t="s">
        <v>232</v>
      </c>
      <c r="E8" s="131"/>
      <c r="F8" s="130"/>
      <c r="G8" s="133"/>
    </row>
    <row r="9" spans="1:7" ht="14.4" x14ac:dyDescent="0.3">
      <c r="A9" s="131" t="s">
        <v>210</v>
      </c>
      <c r="B9" s="131" t="s">
        <v>196</v>
      </c>
      <c r="C9" s="137" t="s">
        <v>197</v>
      </c>
      <c r="D9" s="137" t="s">
        <v>232</v>
      </c>
      <c r="E9" s="131"/>
      <c r="F9" s="130"/>
      <c r="G9" s="133"/>
    </row>
    <row r="10" spans="1:7" ht="14.4" x14ac:dyDescent="0.3">
      <c r="A10" s="131" t="s">
        <v>211</v>
      </c>
      <c r="B10" s="131" t="s">
        <v>196</v>
      </c>
      <c r="C10" s="137" t="s">
        <v>197</v>
      </c>
      <c r="D10" s="137" t="s">
        <v>232</v>
      </c>
      <c r="E10" s="131"/>
      <c r="F10" s="130"/>
      <c r="G10" s="133"/>
    </row>
    <row r="11" spans="1:7" ht="14.4" x14ac:dyDescent="0.3">
      <c r="A11" s="131" t="s">
        <v>212</v>
      </c>
      <c r="B11" s="131" t="s">
        <v>196</v>
      </c>
      <c r="C11" s="137" t="s">
        <v>197</v>
      </c>
      <c r="D11" s="137" t="s">
        <v>232</v>
      </c>
      <c r="E11" s="131"/>
      <c r="F11" s="130"/>
      <c r="G11" s="133"/>
    </row>
    <row r="12" spans="1:7" ht="14.4" x14ac:dyDescent="0.3">
      <c r="A12" s="131" t="s">
        <v>213</v>
      </c>
      <c r="B12" s="131" t="s">
        <v>196</v>
      </c>
      <c r="C12" s="137" t="s">
        <v>197</v>
      </c>
      <c r="D12" s="137" t="s">
        <v>232</v>
      </c>
      <c r="E12" s="131"/>
      <c r="F12" s="130"/>
      <c r="G12" s="133"/>
    </row>
    <row r="13" spans="1:7" ht="14.4" x14ac:dyDescent="0.3">
      <c r="A13" s="131" t="s">
        <v>214</v>
      </c>
      <c r="B13" s="131" t="s">
        <v>196</v>
      </c>
      <c r="C13" s="131" t="s">
        <v>204</v>
      </c>
      <c r="D13" s="131" t="s">
        <v>215</v>
      </c>
      <c r="E13" s="131"/>
      <c r="F13" s="130"/>
      <c r="G13" s="133"/>
    </row>
    <row r="14" spans="1:7" ht="14.4" x14ac:dyDescent="0.3">
      <c r="A14" s="131" t="s">
        <v>216</v>
      </c>
      <c r="B14" s="131" t="s">
        <v>196</v>
      </c>
      <c r="C14" s="131" t="s">
        <v>217</v>
      </c>
      <c r="D14" s="131">
        <v>5</v>
      </c>
      <c r="E14" s="131"/>
      <c r="F14" s="130"/>
      <c r="G14" s="133"/>
    </row>
    <row r="15" spans="1:7" ht="14.4" x14ac:dyDescent="0.3">
      <c r="A15" s="131" t="s">
        <v>218</v>
      </c>
      <c r="B15" s="131" t="s">
        <v>196</v>
      </c>
      <c r="C15" s="137" t="s">
        <v>197</v>
      </c>
      <c r="D15" s="137" t="s">
        <v>232</v>
      </c>
      <c r="E15" s="131"/>
      <c r="F15" s="130"/>
      <c r="G15" s="133"/>
    </row>
    <row r="16" spans="1:7" ht="14.4" x14ac:dyDescent="0.3">
      <c r="A16" s="131" t="s">
        <v>219</v>
      </c>
      <c r="B16" s="131" t="s">
        <v>220</v>
      </c>
      <c r="C16" s="131" t="s">
        <v>204</v>
      </c>
      <c r="D16" s="131" t="s">
        <v>221</v>
      </c>
      <c r="E16" s="131"/>
      <c r="F16" s="130"/>
      <c r="G16" s="133"/>
    </row>
    <row r="17" spans="1:7" ht="14.4" x14ac:dyDescent="0.3">
      <c r="A17" s="131" t="s">
        <v>222</v>
      </c>
      <c r="B17" s="131" t="s">
        <v>220</v>
      </c>
      <c r="C17" s="131" t="s">
        <v>223</v>
      </c>
      <c r="D17" s="131"/>
      <c r="E17" s="131"/>
      <c r="F17" s="130"/>
      <c r="G17" s="133"/>
    </row>
    <row r="18" spans="1:7" ht="14.4" x14ac:dyDescent="0.3">
      <c r="A18" s="131" t="s">
        <v>224</v>
      </c>
      <c r="B18" s="131" t="s">
        <v>220</v>
      </c>
      <c r="C18" s="131" t="s">
        <v>223</v>
      </c>
      <c r="D18" s="131"/>
      <c r="E18" s="131"/>
      <c r="F18" s="130"/>
      <c r="G18" s="133"/>
    </row>
    <row r="19" spans="1:7" ht="14.4" x14ac:dyDescent="0.3">
      <c r="A19" s="131" t="s">
        <v>225</v>
      </c>
      <c r="B19" s="131" t="s">
        <v>220</v>
      </c>
      <c r="C19" s="131" t="s">
        <v>223</v>
      </c>
      <c r="D19" s="131"/>
      <c r="E19" s="131"/>
      <c r="F19" s="130"/>
      <c r="G19" s="133"/>
    </row>
    <row r="20" spans="1:7" ht="14.4" x14ac:dyDescent="0.3">
      <c r="A20" s="131" t="s">
        <v>226</v>
      </c>
      <c r="B20" s="131" t="s">
        <v>220</v>
      </c>
      <c r="C20" s="131" t="s">
        <v>223</v>
      </c>
      <c r="D20" s="131"/>
      <c r="E20" s="131"/>
      <c r="F20" s="130"/>
      <c r="G20" s="133"/>
    </row>
    <row r="21" spans="1:7" ht="14.4" x14ac:dyDescent="0.3">
      <c r="A21" s="131" t="s">
        <v>227</v>
      </c>
      <c r="B21" s="131" t="s">
        <v>220</v>
      </c>
      <c r="C21" s="131" t="s">
        <v>223</v>
      </c>
      <c r="D21" s="131"/>
      <c r="E21" s="131"/>
      <c r="F21" s="130"/>
      <c r="G21" s="133"/>
    </row>
    <row r="22" spans="1:7" x14ac:dyDescent="0.25">
      <c r="G22" s="1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Amadu Epishev</cp:lastModifiedBy>
  <cp:lastPrinted>2019-11-25T09:13:16Z</cp:lastPrinted>
  <dcterms:created xsi:type="dcterms:W3CDTF">2014-09-17T09:30:01Z</dcterms:created>
  <dcterms:modified xsi:type="dcterms:W3CDTF">2024-09-11T10:11:56Z</dcterms:modified>
  <cp:category>Annual questionnaires</cp:category>
</cp:coreProperties>
</file>